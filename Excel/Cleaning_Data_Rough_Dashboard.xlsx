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ISHALI\OneDrive\Documents\Personal Project\Iran-Crisis-Market-Analysis\Excel\"/>
    </mc:Choice>
  </mc:AlternateContent>
  <xr:revisionPtr revIDLastSave="0" documentId="13_ncr:1_{3895C368-72B2-4422-A943-1EE5BA630B7C}" xr6:coauthVersionLast="47" xr6:coauthVersionMax="47" xr10:uidLastSave="{00000000-0000-0000-0000-000000000000}"/>
  <bookViews>
    <workbookView xWindow="-120" yWindow="-120" windowWidth="29040" windowHeight="15720" tabRatio="882" xr2:uid="{172F6C5A-5E27-40F8-9384-DC07408C4311}"/>
  </bookViews>
  <sheets>
    <sheet name="Clean_data " sheetId="7" r:id="rId1"/>
    <sheet name="Rough_Dashboard" sheetId="11" r:id="rId2"/>
    <sheet name="Pivot_tables" sheetId="8" r:id="rId3"/>
    <sheet name="Key_Insights" sheetId="10" r:id="rId4"/>
    <sheet name="global_fuel_prices_april_2026" sheetId="2" state="hidden" r:id="rId5"/>
    <sheet name="crude_oil_prices_crisis_period" sheetId="1" state="hidden" r:id="rId6"/>
    <sheet name="currency_inflation_indicators" sheetId="3" state="hidden" r:id="rId7"/>
    <sheet name="news_sentiment_media_coverage" sheetId="4" state="hidden" r:id="rId8"/>
    <sheet name="shipping_logistics_disruption" sheetId="5" state="hidden" r:id="rId9"/>
    <sheet name="stock_market_impact_energy_sect" sheetId="6" state="hidden" r:id="rId10"/>
  </sheets>
  <definedNames>
    <definedName name="_xlnm._FilterDatabase" localSheetId="6" hidden="1">currency_inflation_indicators!$A$1:$E$49</definedName>
    <definedName name="_xlnm._FilterDatabase" localSheetId="4" hidden="1">global_fuel_prices_april_2026!$A$1:$F$97</definedName>
    <definedName name="_xlnm._FilterDatabase" localSheetId="7" hidden="1">news_sentiment_media_coverage!$A$1:$G$57</definedName>
    <definedName name="_xlnm._FilterDatabase" localSheetId="8" hidden="1">shipping_logistics_disruption!$A$1:$G$33</definedName>
    <definedName name="_xlnm._FilterDatabase" localSheetId="9" hidden="1">stock_market_impact_energy_sect!$A$1:$G$49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8" l="1"/>
  <c r="E8" i="8"/>
  <c r="E9" i="8"/>
  <c r="E10" i="8"/>
  <c r="E11" i="8"/>
  <c r="E12" i="8"/>
  <c r="E13" i="8"/>
  <c r="E14" i="8"/>
  <c r="E15" i="8"/>
  <c r="E16" i="8"/>
  <c r="E17" i="8"/>
  <c r="E18" i="8"/>
  <c r="B2" i="7"/>
  <c r="B3" i="7"/>
  <c r="B4" i="7"/>
  <c r="B5" i="7"/>
  <c r="B6" i="7"/>
  <c r="B7" i="7"/>
  <c r="B8" i="7"/>
  <c r="B9" i="7"/>
  <c r="J2" i="7"/>
  <c r="J3" i="7"/>
  <c r="J4" i="7"/>
  <c r="J5" i="7"/>
  <c r="J6" i="7"/>
  <c r="J7" i="7"/>
  <c r="J8" i="7"/>
  <c r="J9" i="7"/>
  <c r="I2" i="7" a="1"/>
  <c r="I2" i="7" s="1"/>
  <c r="I3" i="7" a="1"/>
  <c r="I3" i="7" s="1"/>
  <c r="N3" i="7" s="1"/>
  <c r="I4" i="7" a="1"/>
  <c r="I4" i="7" s="1"/>
  <c r="I5" i="7" a="1"/>
  <c r="I5" i="7" s="1"/>
  <c r="N5" i="7" s="1"/>
  <c r="I6" i="7" a="1"/>
  <c r="I6" i="7" s="1"/>
  <c r="N6" i="7" s="1"/>
  <c r="I7" i="7" a="1"/>
  <c r="I7" i="7" s="1"/>
  <c r="N7" i="7" s="1"/>
  <c r="I8" i="7" a="1"/>
  <c r="I8" i="7" s="1"/>
  <c r="N8" i="7" s="1"/>
  <c r="I9" i="7" a="1"/>
  <c r="I9" i="7" s="1"/>
  <c r="N9" i="7" s="1"/>
  <c r="H2" i="7" a="1"/>
  <c r="H2" i="7" s="1"/>
  <c r="H3" i="7" a="1"/>
  <c r="H3" i="7" s="1"/>
  <c r="H4" i="7" a="1"/>
  <c r="H4" i="7" s="1"/>
  <c r="H5" i="7" a="1"/>
  <c r="H5" i="7" s="1"/>
  <c r="H6" i="7" a="1"/>
  <c r="H6" i="7" s="1"/>
  <c r="H7" i="7" a="1"/>
  <c r="H7" i="7" s="1"/>
  <c r="H8" i="7" a="1"/>
  <c r="H8" i="7" s="1"/>
  <c r="H9" i="7" a="1"/>
  <c r="H9" i="7" s="1"/>
  <c r="G2" i="7" a="1"/>
  <c r="G2" i="7" s="1"/>
  <c r="G3" i="7" a="1"/>
  <c r="G3" i="7" s="1"/>
  <c r="M3" i="7" s="1"/>
  <c r="G4" i="7" a="1"/>
  <c r="G4" i="7" s="1"/>
  <c r="M4" i="7" s="1"/>
  <c r="G5" i="7" a="1"/>
  <c r="G5" i="7" s="1"/>
  <c r="G6" i="7" a="1"/>
  <c r="G6" i="7" s="1"/>
  <c r="M6" i="7" s="1"/>
  <c r="G7" i="7" a="1"/>
  <c r="G7" i="7" s="1"/>
  <c r="G8" i="7" a="1"/>
  <c r="G8" i="7" s="1"/>
  <c r="M8" i="7" s="1"/>
  <c r="G9" i="7" a="1"/>
  <c r="G9" i="7" s="1"/>
  <c r="F3" i="7" a="1"/>
  <c r="F3" i="7" s="1"/>
  <c r="F4" i="7" a="1"/>
  <c r="F4" i="7" s="1"/>
  <c r="L4" i="7" s="1"/>
  <c r="F5" i="7" a="1"/>
  <c r="F5" i="7" s="1"/>
  <c r="F6" i="7" a="1"/>
  <c r="F6" i="7" s="1"/>
  <c r="F7" i="7" a="1"/>
  <c r="F7" i="7" s="1"/>
  <c r="L7" i="7" s="1"/>
  <c r="F8" i="7" a="1"/>
  <c r="F8" i="7" s="1"/>
  <c r="F9" i="7" a="1"/>
  <c r="F9" i="7" s="1"/>
  <c r="F2" i="7" a="1"/>
  <c r="F2" i="7" s="1"/>
  <c r="E2" i="7"/>
  <c r="D3" i="7"/>
  <c r="D4" i="7"/>
  <c r="D5" i="7"/>
  <c r="D6" i="7"/>
  <c r="D7" i="7"/>
  <c r="D8" i="7"/>
  <c r="D9" i="7"/>
  <c r="D2" i="7"/>
  <c r="K7" i="7" l="1"/>
  <c r="K3" i="7"/>
  <c r="N4" i="7"/>
  <c r="L8" i="7"/>
  <c r="L6" i="7"/>
  <c r="M9" i="7"/>
  <c r="M5" i="7"/>
  <c r="M7" i="7"/>
  <c r="K8" i="7"/>
  <c r="K4" i="7"/>
  <c r="L9" i="7"/>
  <c r="L5" i="7"/>
  <c r="L3" i="7"/>
  <c r="K6" i="7"/>
  <c r="K9" i="7"/>
  <c r="K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<sst xmlns="http://schemas.openxmlformats.org/spreadsheetml/2006/main" count="714" uniqueCount="128">
  <si>
    <t>Wednesday</t>
  </si>
  <si>
    <t>Tuesday</t>
  </si>
  <si>
    <t>Monday</t>
  </si>
  <si>
    <t>Sunday</t>
  </si>
  <si>
    <t>Saturday</t>
  </si>
  <si>
    <t>Friday</t>
  </si>
  <si>
    <t>Thursday</t>
  </si>
  <si>
    <t>Trading_Volume_Million_Barrels</t>
  </si>
  <si>
    <t>Day_of_Week</t>
  </si>
  <si>
    <t>OPEC_Basket_USD_per_barrel</t>
  </si>
  <si>
    <t>Brent_Crude_USD_per_barrel</t>
  </si>
  <si>
    <t>WTI_Crude_USD_per_barrel</t>
  </si>
  <si>
    <t>Date</t>
  </si>
  <si>
    <t>Country</t>
  </si>
  <si>
    <t>Fuel_Price_Per_Liter_USD</t>
  </si>
  <si>
    <t>Currency</t>
  </si>
  <si>
    <t>Days_Since_Crisis_Start</t>
  </si>
  <si>
    <t>Crisis_Phase</t>
  </si>
  <si>
    <t>USA</t>
  </si>
  <si>
    <t>USD</t>
  </si>
  <si>
    <t>Pre-Crisis</t>
  </si>
  <si>
    <t>Escalation</t>
  </si>
  <si>
    <t>Peak</t>
  </si>
  <si>
    <t>India</t>
  </si>
  <si>
    <t>INR</t>
  </si>
  <si>
    <t>UK</t>
  </si>
  <si>
    <t>Germany</t>
  </si>
  <si>
    <t>China</t>
  </si>
  <si>
    <t>Japan</t>
  </si>
  <si>
    <t>Brazil</t>
  </si>
  <si>
    <t>Canada</t>
  </si>
  <si>
    <t>Australia</t>
  </si>
  <si>
    <t>UAE</t>
  </si>
  <si>
    <t>Saudi Arabia</t>
  </si>
  <si>
    <t>Pakistan</t>
  </si>
  <si>
    <t>PKR</t>
  </si>
  <si>
    <t>Currency_Pair</t>
  </si>
  <si>
    <t>Exchange_Rate</t>
  </si>
  <si>
    <t>Daily_Change_Percent</t>
  </si>
  <si>
    <t>Volatility_Index</t>
  </si>
  <si>
    <t>USD_Index</t>
  </si>
  <si>
    <t>EUR_USD</t>
  </si>
  <si>
    <t>GBP_USD</t>
  </si>
  <si>
    <t>INR_USD</t>
  </si>
  <si>
    <t>PKR_USD</t>
  </si>
  <si>
    <t>AED_USD</t>
  </si>
  <si>
    <t>News_Source</t>
  </si>
  <si>
    <t>Article_Mentions</t>
  </si>
  <si>
    <t>Sentiment_Score</t>
  </si>
  <si>
    <t>Sentiment_Label</t>
  </si>
  <si>
    <t>Headline_Avg_Length</t>
  </si>
  <si>
    <t>Shares_and_Engagement</t>
  </si>
  <si>
    <t>Reuters</t>
  </si>
  <si>
    <t>Neutral</t>
  </si>
  <si>
    <t>Bloomberg</t>
  </si>
  <si>
    <t>AP News</t>
  </si>
  <si>
    <t>BBC</t>
  </si>
  <si>
    <t>CNBC</t>
  </si>
  <si>
    <t>Al Jazeera</t>
  </si>
  <si>
    <t>NPR</t>
  </si>
  <si>
    <t>Negative</t>
  </si>
  <si>
    <t>Shipping_Route</t>
  </si>
  <si>
    <t>Daily_Vessels_Passed</t>
  </si>
  <si>
    <t>Avg_Freight_Rate_USD_per_TEU</t>
  </si>
  <si>
    <t>Capacity_Utilization_Percent</t>
  </si>
  <si>
    <t>Days_Delay_Average</t>
  </si>
  <si>
    <t>Insurance_Premium_Increase_Percent</t>
  </si>
  <si>
    <t>Strait of Hormuz</t>
  </si>
  <si>
    <t>Suez Canal</t>
  </si>
  <si>
    <t>Panama Canal</t>
  </si>
  <si>
    <t>Malacca Strait</t>
  </si>
  <si>
    <t>Stock_Symbol</t>
  </si>
  <si>
    <t>Opening_Price</t>
  </si>
  <si>
    <t>Closing_Price</t>
  </si>
  <si>
    <t>Percent_Change</t>
  </si>
  <si>
    <t>Trading_Volume</t>
  </si>
  <si>
    <t>Sector</t>
  </si>
  <si>
    <t>XOM (Exxon)</t>
  </si>
  <si>
    <t>Energy</t>
  </si>
  <si>
    <t>CVX (Chevron)</t>
  </si>
  <si>
    <t>RDSA (Shell)</t>
  </si>
  <si>
    <t>MPC (Marathon)</t>
  </si>
  <si>
    <t>SPLG (S&amp;P 500)</t>
  </si>
  <si>
    <t>Broad Market</t>
  </si>
  <si>
    <t>VTI (Total Market)</t>
  </si>
  <si>
    <t>WTI_Oil</t>
  </si>
  <si>
    <t>Brent_Oil</t>
  </si>
  <si>
    <t>Fright Rate(Hormuz)</t>
  </si>
  <si>
    <t>Sentiment Score</t>
  </si>
  <si>
    <t>Day_of_week</t>
  </si>
  <si>
    <t>Oil_Change_from_day_0(%)</t>
  </si>
  <si>
    <t>Fuel_price(India)_from_day0(%)</t>
  </si>
  <si>
    <t>USD_Index_From_Day0(%)</t>
  </si>
  <si>
    <t>FrightRate_From_day0(%)</t>
  </si>
  <si>
    <t>Average of WTI_Oil</t>
  </si>
  <si>
    <t>Average of Brent_Oil</t>
  </si>
  <si>
    <t>Oil Price by Crisis_Phase</t>
  </si>
  <si>
    <t xml:space="preserve">Country Fuel Price(%) Change </t>
  </si>
  <si>
    <t>Column Labels</t>
  </si>
  <si>
    <t>Average of Fuel_Price_Per_Liter_USD</t>
  </si>
  <si>
    <t xml:space="preserve">Country </t>
  </si>
  <si>
    <t>%Change</t>
  </si>
  <si>
    <t xml:space="preserve">The jump from Pre-Crisis to Peak should be dramatic (97.84 to 112.40 for WTI). </t>
  </si>
  <si>
    <t>Pakistan and India will show high absolute change. UAE and Saudi Arabia will show minimal change.</t>
  </si>
  <si>
    <t>Stock Market: Energy vs Broad Market</t>
  </si>
  <si>
    <t>Average of Percent_Change</t>
  </si>
  <si>
    <t>Energy sector % change should be positive and growing. Broad Market should be negative and worsening. This divergence is a powerful story.</t>
  </si>
  <si>
    <t>Shipping Disruption by Route</t>
  </si>
  <si>
    <t>Average of Avg_Freight_Rate_USD_per_TEU</t>
  </si>
  <si>
    <t>Average of Insurance_Premium_Increase_Percent</t>
  </si>
  <si>
    <t>Average of Days_Delay_Average</t>
  </si>
  <si>
    <t>Strait of Hormuz should show the sharpest vessel count drop. Suez Canal freight rate spike matters for India-Europe trade.</t>
  </si>
  <si>
    <t xml:space="preserve">News Sentiment vs Article Volume </t>
  </si>
  <si>
    <t>Sum of Article_Mentions</t>
  </si>
  <si>
    <t>Average of Sentiment_Score</t>
  </si>
  <si>
    <t xml:space="preserve">As dates progress, article mentions should spike up while sentiment score drops down (goes more negative). </t>
  </si>
  <si>
    <t>PIVOT TABLE : 1</t>
  </si>
  <si>
    <t>PIVOT TABLE : 5</t>
  </si>
  <si>
    <t>PIVOT TABLE : 2</t>
  </si>
  <si>
    <t>PIVOT TABLE : 3</t>
  </si>
  <si>
    <t>PIVOT TABLE : 4</t>
  </si>
  <si>
    <t>DASHBOARD</t>
  </si>
  <si>
    <t>Key Insights:</t>
  </si>
  <si>
    <t>2. Pakistan saw the highest fuel price increase .</t>
  </si>
  <si>
    <t>3. Energy stocks (XOM, CVX) gained +7% while Broad Market lost -2.8% -clear sector rotation.</t>
  </si>
  <si>
    <t>5. Bloomberg article mentions grew 8x from Day 0 to Day 7 as sentiment  turned deeply negative.</t>
  </si>
  <si>
    <t>1. WTI crude oil rise from pre-crisis to peak (Day 0 to Day 7).</t>
  </si>
  <si>
    <t>4. Strait of Hormuz vessel traffic dropped  - highest route disruption.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</si>
</sst>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6"/>
      <color theme="4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1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164" fontId="0" fillId="0" borderId="0" xfId="0" applyNumberFormat="1"/>
    <xf numFmtId="0" fontId="2" fillId="2" borderId="0" xfId="0" applyFont="1" applyFill="1"/>
    <xf numFmtId="2" fontId="0" fillId="4" borderId="0" xfId="0" applyNumberFormat="1" applyFill="1"/>
    <xf numFmtId="0" fontId="0" fillId="6" borderId="0" xfId="0" applyFill="1"/>
    <xf numFmtId="0" fontId="4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6" fillId="8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/>
    </xf>
    <xf numFmtId="0" fontId="8" fillId="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28">
    <dxf>
      <alignment wrapText="1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164" formatCode="0.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Pivot_tables!$H$5</c:f>
              <c:strCache>
                <c:ptCount val="1"/>
                <c:pt idx="0">
                  <c:v>Average of WTI_Oil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Pivot_tables!$G$6:$G$8</c:f>
              <c:strCache>
                <c:ptCount val="3"/>
                <c:pt idx="0">
                  <c:v>Pre-Crisis</c:v>
                </c:pt>
                <c:pt idx="1">
                  <c:v>Escalation</c:v>
                </c:pt>
                <c:pt idx="2">
                  <c:v>Peak</c:v>
                </c:pt>
              </c:strCache>
            </c:strRef>
          </c:cat>
          <c:val>
            <c:numRef>
              <c:f>Pivot_tables!$H$6:$H$8</c:f>
              <c:numCache>
                <c:formatCode>0.00</c:formatCode>
                <c:ptCount val="3"/>
                <c:pt idx="0">
                  <c:v>97.842500000000001</c:v>
                </c:pt>
                <c:pt idx="1">
                  <c:v>110.72666666666667</c:v>
                </c:pt>
                <c:pt idx="2">
                  <c:v>112.4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D-441E-8D9C-EB6674B1B839}"/>
            </c:ext>
          </c:extLst>
        </c:ser>
        <c:ser>
          <c:idx val="1"/>
          <c:order val="1"/>
          <c:tx>
            <c:strRef>
              <c:f>Pivot_tables!$I$5</c:f>
              <c:strCache>
                <c:ptCount val="1"/>
                <c:pt idx="0">
                  <c:v>Average of Brent_Oil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Pivot_tables!$G$6:$G$8</c:f>
              <c:strCache>
                <c:ptCount val="3"/>
                <c:pt idx="0">
                  <c:v>Pre-Crisis</c:v>
                </c:pt>
                <c:pt idx="1">
                  <c:v>Escalation</c:v>
                </c:pt>
                <c:pt idx="2">
                  <c:v>Peak</c:v>
                </c:pt>
              </c:strCache>
            </c:strRef>
          </c:cat>
          <c:val>
            <c:numRef>
              <c:f>Pivot_tables!$I$6:$I$8</c:f>
              <c:numCache>
                <c:formatCode>0.00</c:formatCode>
                <c:ptCount val="3"/>
                <c:pt idx="0">
                  <c:v>100.3425</c:v>
                </c:pt>
                <c:pt idx="1">
                  <c:v>113.22666666666667</c:v>
                </c:pt>
                <c:pt idx="2">
                  <c:v>114.9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D-441E-8D9C-EB6674B1B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965456"/>
        <c:axId val="1084957296"/>
      </c:barChart>
      <c:catAx>
        <c:axId val="10849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57296"/>
        <c:crosses val="autoZero"/>
        <c:auto val="1"/>
        <c:lblAlgn val="ctr"/>
        <c:lblOffset val="100"/>
        <c:noMultiLvlLbl val="0"/>
      </c:catAx>
      <c:valAx>
        <c:axId val="10849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6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Pivot_tables!$L$5:$L$6</c:f>
              <c:strCache>
                <c:ptCount val="1"/>
                <c:pt idx="0">
                  <c:v>Broad Market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Pivot_tables!$K$7:$K$14</c:f>
              <c:strCache>
                <c:ptCount val="8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  <c:pt idx="5">
                  <c:v>06-04-2026</c:v>
                </c:pt>
                <c:pt idx="6">
                  <c:v>07-04-2026</c:v>
                </c:pt>
                <c:pt idx="7">
                  <c:v>08-04-2026</c:v>
                </c:pt>
              </c:strCache>
            </c:strRef>
          </c:cat>
          <c:val>
            <c:numRef>
              <c:f>Pivot_tables!$L$7:$L$14</c:f>
              <c:numCache>
                <c:formatCode>0.00</c:formatCode>
                <c:ptCount val="8"/>
                <c:pt idx="0">
                  <c:v>-0.4</c:v>
                </c:pt>
                <c:pt idx="1">
                  <c:v>-0.72499999999999998</c:v>
                </c:pt>
                <c:pt idx="2">
                  <c:v>-1.0549999999999999</c:v>
                </c:pt>
                <c:pt idx="3">
                  <c:v>-1.375</c:v>
                </c:pt>
                <c:pt idx="4">
                  <c:v>-1.7000000000000002</c:v>
                </c:pt>
                <c:pt idx="5">
                  <c:v>-2.0249999999999999</c:v>
                </c:pt>
                <c:pt idx="6">
                  <c:v>-2.3499999999999996</c:v>
                </c:pt>
                <c:pt idx="7">
                  <c:v>-2.6749999999999998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4-4ABD-8111-9A6B669ADD88}"/>
            </c:ext>
          </c:extLst>
        </c:ser>
        <c:ser>
          <c:idx val="1"/>
          <c:order val="1"/>
          <c:tx>
            <c:strRef>
              <c:f>Pivot_tables!$M$5:$M$6</c:f>
              <c:strCache>
                <c:ptCount val="1"/>
                <c:pt idx="0">
                  <c:v>Energy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Pivot_tables!$K$7:$K$14</c:f>
              <c:strCache>
                <c:ptCount val="8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  <c:pt idx="5">
                  <c:v>06-04-2026</c:v>
                </c:pt>
                <c:pt idx="6">
                  <c:v>07-04-2026</c:v>
                </c:pt>
                <c:pt idx="7">
                  <c:v>08-04-2026</c:v>
                </c:pt>
              </c:strCache>
            </c:strRef>
          </c:cat>
          <c:val>
            <c:numRef>
              <c:f>Pivot_tables!$M$7:$M$14</c:f>
              <c:numCache>
                <c:formatCode>0.00</c:formatCode>
                <c:ptCount val="8"/>
                <c:pt idx="0">
                  <c:v>-0.75</c:v>
                </c:pt>
                <c:pt idx="1">
                  <c:v>0.33</c:v>
                </c:pt>
                <c:pt idx="2">
                  <c:v>1.4125000000000001</c:v>
                </c:pt>
                <c:pt idx="3">
                  <c:v>2.4925000000000002</c:v>
                </c:pt>
                <c:pt idx="4">
                  <c:v>3.5749999999999997</c:v>
                </c:pt>
                <c:pt idx="5">
                  <c:v>4.6550000000000002</c:v>
                </c:pt>
                <c:pt idx="6">
                  <c:v>5.7349999999999994</c:v>
                </c:pt>
                <c:pt idx="7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4-4ABD-8111-9A6B669AD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956336"/>
        <c:axId val="1084940016"/>
      </c:lineChart>
      <c:catAx>
        <c:axId val="108495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40016"/>
        <c:crosses val="autoZero"/>
        <c:auto val="1"/>
        <c:lblAlgn val="ctr"/>
        <c:lblOffset val="100"/>
        <c:noMultiLvlLbl val="0"/>
      </c:catAx>
      <c:valAx>
        <c:axId val="10849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5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Pivot_tables!$B$5:$B$6</c:f>
              <c:strCache>
                <c:ptCount val="1"/>
                <c:pt idx="0">
                  <c:v>Escalation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Pivot_tables!$A$7:$A$18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Pakistan</c:v>
                </c:pt>
                <c:pt idx="8">
                  <c:v>Saudi Arabia</c:v>
                </c:pt>
                <c:pt idx="9">
                  <c:v>UAE</c:v>
                </c:pt>
                <c:pt idx="10">
                  <c:v>UK</c:v>
                </c:pt>
                <c:pt idx="11">
                  <c:v>USA</c:v>
                </c:pt>
              </c:strCache>
            </c:strRef>
          </c:cat>
          <c:val>
            <c:numRef>
              <c:f>Pivot_tables!$B$7:$B$18</c:f>
              <c:numCache>
                <c:formatCode>0.00</c:formatCode>
                <c:ptCount val="12"/>
                <c:pt idx="0">
                  <c:v>5.37</c:v>
                </c:pt>
                <c:pt idx="1">
                  <c:v>5.13</c:v>
                </c:pt>
                <c:pt idx="2">
                  <c:v>3.3966666666666669</c:v>
                </c:pt>
                <c:pt idx="3">
                  <c:v>5.5333333333333341</c:v>
                </c:pt>
                <c:pt idx="4">
                  <c:v>6.2833333333333341</c:v>
                </c:pt>
                <c:pt idx="5">
                  <c:v>106.55333333333333</c:v>
                </c:pt>
                <c:pt idx="6">
                  <c:v>5.7566666666666668</c:v>
                </c:pt>
                <c:pt idx="7">
                  <c:v>106.52333333333333</c:v>
                </c:pt>
                <c:pt idx="8">
                  <c:v>1.8466666666666667</c:v>
                </c:pt>
                <c:pt idx="9">
                  <c:v>1.8933333333333333</c:v>
                </c:pt>
                <c:pt idx="10">
                  <c:v>5.8933333333333335</c:v>
                </c:pt>
                <c:pt idx="11">
                  <c:v>3.7266666666666666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6-4F3A-9B4B-76B15BE43CEB}"/>
            </c:ext>
          </c:extLst>
        </c:ser>
        <c:ser>
          <c:idx val="1"/>
          <c:order val="1"/>
          <c:tx>
            <c:strRef>
              <c:f>Pivot_tables!$C$5:$C$6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Pivot_tables!$A$7:$A$18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Pakistan</c:v>
                </c:pt>
                <c:pt idx="8">
                  <c:v>Saudi Arabia</c:v>
                </c:pt>
                <c:pt idx="9">
                  <c:v>UAE</c:v>
                </c:pt>
                <c:pt idx="10">
                  <c:v>UK</c:v>
                </c:pt>
                <c:pt idx="11">
                  <c:v>USA</c:v>
                </c:pt>
              </c:strCache>
            </c:strRef>
          </c:cat>
          <c:val>
            <c:numRef>
              <c:f>Pivot_tables!$C$7:$C$18</c:f>
              <c:numCache>
                <c:formatCode>0.00</c:formatCode>
                <c:ptCount val="12"/>
                <c:pt idx="0">
                  <c:v>5.54</c:v>
                </c:pt>
                <c:pt idx="1">
                  <c:v>5.27</c:v>
                </c:pt>
                <c:pt idx="2">
                  <c:v>3.5</c:v>
                </c:pt>
                <c:pt idx="3">
                  <c:v>5.7</c:v>
                </c:pt>
                <c:pt idx="4">
                  <c:v>6.44</c:v>
                </c:pt>
                <c:pt idx="5">
                  <c:v>110.48</c:v>
                </c:pt>
                <c:pt idx="6">
                  <c:v>5.93</c:v>
                </c:pt>
                <c:pt idx="7">
                  <c:v>116.19</c:v>
                </c:pt>
                <c:pt idx="8">
                  <c:v>1.88</c:v>
                </c:pt>
                <c:pt idx="9">
                  <c:v>1.91</c:v>
                </c:pt>
                <c:pt idx="10">
                  <c:v>6.08</c:v>
                </c:pt>
                <c:pt idx="11">
                  <c:v>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6-4F3A-9B4B-76B15BE43CEB}"/>
            </c:ext>
          </c:extLst>
        </c:ser>
        <c:ser>
          <c:idx val="2"/>
          <c:order val="2"/>
          <c:tx>
            <c:strRef>
              <c:f>Pivot_tables!$D$5:$D$6</c:f>
              <c:strCache>
                <c:ptCount val="1"/>
                <c:pt idx="0">
                  <c:v>Pre-Crisis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Pivot_tables!$A$7:$A$18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Pakistan</c:v>
                </c:pt>
                <c:pt idx="8">
                  <c:v>Saudi Arabia</c:v>
                </c:pt>
                <c:pt idx="9">
                  <c:v>UAE</c:v>
                </c:pt>
                <c:pt idx="10">
                  <c:v>UK</c:v>
                </c:pt>
                <c:pt idx="11">
                  <c:v>USA</c:v>
                </c:pt>
              </c:strCache>
            </c:strRef>
          </c:cat>
          <c:val>
            <c:numRef>
              <c:f>Pivot_tables!$D$7:$D$18</c:f>
              <c:numCache>
                <c:formatCode>0.00</c:formatCode>
                <c:ptCount val="12"/>
                <c:pt idx="0">
                  <c:v>5.0750000000000002</c:v>
                </c:pt>
                <c:pt idx="1">
                  <c:v>4.8849999999999998</c:v>
                </c:pt>
                <c:pt idx="2">
                  <c:v>3.2050000000000001</c:v>
                </c:pt>
                <c:pt idx="3">
                  <c:v>5.2450000000000001</c:v>
                </c:pt>
                <c:pt idx="4">
                  <c:v>6.01</c:v>
                </c:pt>
                <c:pt idx="5">
                  <c:v>99.67</c:v>
                </c:pt>
                <c:pt idx="6">
                  <c:v>5.4649999999999999</c:v>
                </c:pt>
                <c:pt idx="7">
                  <c:v>89.594999999999999</c:v>
                </c:pt>
                <c:pt idx="8">
                  <c:v>1.8000000000000003</c:v>
                </c:pt>
                <c:pt idx="9">
                  <c:v>1.865</c:v>
                </c:pt>
                <c:pt idx="10">
                  <c:v>5.5625</c:v>
                </c:pt>
                <c:pt idx="11">
                  <c:v>3.5350000000000001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6-4F3A-9B4B-76B15BE43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959216"/>
        <c:axId val="1084966896"/>
      </c:barChart>
      <c:catAx>
        <c:axId val="10849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66896"/>
        <c:crosses val="autoZero"/>
        <c:auto val="1"/>
        <c:lblAlgn val="ctr"/>
        <c:lblOffset val="100"/>
        <c:noMultiLvlLbl val="0"/>
      </c:catAx>
      <c:valAx>
        <c:axId val="10849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5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Pivot_tables!$P$5</c:f>
              <c:strCache>
                <c:ptCount val="1"/>
                <c:pt idx="0">
                  <c:v>Average of Days_Delay_Average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Pivot_tables!$O$6:$O$9</c:f>
              <c:strCache>
                <c:ptCount val="4"/>
                <c:pt idx="0">
                  <c:v>Malacca Strait</c:v>
                </c:pt>
                <c:pt idx="1">
                  <c:v>Panama Canal</c:v>
                </c:pt>
                <c:pt idx="2">
                  <c:v>Strait of Hormuz</c:v>
                </c:pt>
                <c:pt idx="3">
                  <c:v>Suez Canal</c:v>
                </c:pt>
              </c:strCache>
            </c:strRef>
          </c:cat>
          <c:val>
            <c:numRef>
              <c:f>Pivot_tables!$P$6:$P$9</c:f>
              <c:numCache>
                <c:formatCode>General</c:formatCode>
                <c:ptCount val="4"/>
                <c:pt idx="0">
                  <c:v>1.75</c:v>
                </c:pt>
                <c:pt idx="1">
                  <c:v>1.75</c:v>
                </c:pt>
                <c:pt idx="2">
                  <c:v>1.75</c:v>
                </c:pt>
                <c:pt idx="3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7-4DD4-954B-FD617328BFB7}"/>
            </c:ext>
          </c:extLst>
        </c:ser>
        <c:ser>
          <c:idx val="1"/>
          <c:order val="1"/>
          <c:tx>
            <c:strRef>
              <c:f>Pivot_tables!$Q$5</c:f>
              <c:strCache>
                <c:ptCount val="1"/>
                <c:pt idx="0">
                  <c:v>Average of Insurance_Premium_Increase_Percent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Pivot_tables!$O$6:$O$9</c:f>
              <c:strCache>
                <c:ptCount val="4"/>
                <c:pt idx="0">
                  <c:v>Malacca Strait</c:v>
                </c:pt>
                <c:pt idx="1">
                  <c:v>Panama Canal</c:v>
                </c:pt>
                <c:pt idx="2">
                  <c:v>Strait of Hormuz</c:v>
                </c:pt>
                <c:pt idx="3">
                  <c:v>Suez Canal</c:v>
                </c:pt>
              </c:strCache>
            </c:strRef>
          </c:cat>
          <c:val>
            <c:numRef>
              <c:f>Pivot_tables!$Q$6:$Q$9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7-4DD4-954B-FD617328B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218736"/>
        <c:axId val="993230256"/>
      </c:barChart>
      <c:lineChart>
        <c:grouping val="standard"/>
        <c:varyColors val="0"/>
        <c:ser>
          <c:idx val="2"/>
          <c:order val="2"/>
          <c:tx>
            <c:strRef>
              <c:f>Pivot_tables!$R$5</c:f>
              <c:strCache>
                <c:ptCount val="1"/>
                <c:pt idx="0">
                  <c:v>Average of Avg_Freight_Rate_USD_per_TEU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Pivot_tables!$O$6:$O$9</c:f>
              <c:strCache>
                <c:ptCount val="4"/>
                <c:pt idx="0">
                  <c:v>Malacca Strait</c:v>
                </c:pt>
                <c:pt idx="1">
                  <c:v>Panama Canal</c:v>
                </c:pt>
                <c:pt idx="2">
                  <c:v>Strait of Hormuz</c:v>
                </c:pt>
                <c:pt idx="3">
                  <c:v>Suez Canal</c:v>
                </c:pt>
              </c:strCache>
            </c:strRef>
          </c:cat>
          <c:val>
            <c:numRef>
              <c:f>Pivot_tables!$R$6:$R$9</c:f>
              <c:numCache>
                <c:formatCode>0.0</c:formatCode>
                <c:ptCount val="4"/>
                <c:pt idx="0">
                  <c:v>2149.3825000000002</c:v>
                </c:pt>
                <c:pt idx="1">
                  <c:v>2347.3812499999999</c:v>
                </c:pt>
                <c:pt idx="2">
                  <c:v>2118.915</c:v>
                </c:pt>
                <c:pt idx="3">
                  <c:v>2290.41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37-4DD4-954B-FD617328B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163072"/>
        <c:axId val="888148672"/>
      </c:lineChart>
      <c:catAx>
        <c:axId val="9932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230256"/>
        <c:crosses val="autoZero"/>
        <c:auto val="1"/>
        <c:lblAlgn val="ctr"/>
        <c:lblOffset val="100"/>
        <c:noMultiLvlLbl val="0"/>
      </c:catAx>
      <c:valAx>
        <c:axId val="9932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218736"/>
        <c:crosses val="autoZero"/>
        <c:crossBetween val="between"/>
      </c:valAx>
      <c:valAx>
        <c:axId val="88814867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163072"/>
        <c:crosses val="max"/>
        <c:crossBetween val="between"/>
      </c:valAx>
      <c:catAx>
        <c:axId val="888163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814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Pivot_tables!$U$5</c:f>
              <c:strCache>
                <c:ptCount val="1"/>
                <c:pt idx="0">
                  <c:v>Sum of Article_Mentions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Pivot_tables!$T$6:$T$13</c:f>
              <c:strCache>
                <c:ptCount val="8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  <c:pt idx="5">
                  <c:v>06-04-2026</c:v>
                </c:pt>
                <c:pt idx="6">
                  <c:v>07-04-2026</c:v>
                </c:pt>
                <c:pt idx="7">
                  <c:v>08-04-2026</c:v>
                </c:pt>
              </c:strCache>
            </c:strRef>
          </c:cat>
          <c:val>
            <c:numRef>
              <c:f>Pivot_tables!$U$6:$U$13</c:f>
              <c:numCache>
                <c:formatCode>General</c:formatCode>
                <c:ptCount val="8"/>
                <c:pt idx="0">
                  <c:v>334</c:v>
                </c:pt>
                <c:pt idx="1">
                  <c:v>666</c:v>
                </c:pt>
                <c:pt idx="2">
                  <c:v>914</c:v>
                </c:pt>
                <c:pt idx="3">
                  <c:v>1256</c:v>
                </c:pt>
                <c:pt idx="4">
                  <c:v>1542</c:v>
                </c:pt>
                <c:pt idx="5">
                  <c:v>1696</c:v>
                </c:pt>
                <c:pt idx="6">
                  <c:v>1839</c:v>
                </c:pt>
                <c:pt idx="7">
                  <c:v>2236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9-4457-990F-C9BCB7ABC8A8}"/>
            </c:ext>
          </c:extLst>
        </c:ser>
        <c:ser>
          <c:idx val="1"/>
          <c:order val="1"/>
          <c:tx>
            <c:strRef>
              <c:f>Pivot_tables!$V$5</c:f>
              <c:strCache>
                <c:ptCount val="1"/>
                <c:pt idx="0">
                  <c:v>Average of Sentiment_Score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Pivot_tables!$T$6:$T$13</c:f>
              <c:strCache>
                <c:ptCount val="8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  <c:pt idx="5">
                  <c:v>06-04-2026</c:v>
                </c:pt>
                <c:pt idx="6">
                  <c:v>07-04-2026</c:v>
                </c:pt>
                <c:pt idx="7">
                  <c:v>08-04-2026</c:v>
                </c:pt>
              </c:strCache>
            </c:strRef>
          </c:cat>
          <c:val>
            <c:numRef>
              <c:f>Pivot_tables!$V$6:$V$13</c:f>
              <c:numCache>
                <c:formatCode>General</c:formatCode>
                <c:ptCount val="8"/>
                <c:pt idx="0">
                  <c:v>0.3</c:v>
                </c:pt>
                <c:pt idx="1">
                  <c:v>0.22</c:v>
                </c:pt>
                <c:pt idx="2">
                  <c:v>0.14000000000000001</c:v>
                </c:pt>
                <c:pt idx="3">
                  <c:v>0.06</c:v>
                </c:pt>
                <c:pt idx="4">
                  <c:v>-0.02</c:v>
                </c:pt>
                <c:pt idx="5">
                  <c:v>-9.9999999999999992E-2</c:v>
                </c:pt>
                <c:pt idx="6">
                  <c:v>-0.17999999999999997</c:v>
                </c:pt>
                <c:pt idx="7">
                  <c:v>-0.26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9-4457-990F-C9BCB7ABC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107232"/>
        <c:axId val="1181105792"/>
      </c:lineChart>
      <c:catAx>
        <c:axId val="11811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05792"/>
        <c:crosses val="autoZero"/>
        <c:auto val="1"/>
        <c:lblAlgn val="ctr"/>
        <c:lblOffset val="100"/>
        <c:noMultiLvlLbl val="0"/>
      </c:catAx>
      <c:valAx>
        <c:axId val="118110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Pivot_tables!$H$5</c:f>
              <c:strCache>
                <c:ptCount val="1"/>
                <c:pt idx="0">
                  <c:v>Average of WTI_Oil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Pivot_tables!$G$6:$G$8</c:f>
              <c:strCache>
                <c:ptCount val="3"/>
                <c:pt idx="0">
                  <c:v>Pre-Crisis</c:v>
                </c:pt>
                <c:pt idx="1">
                  <c:v>Escalation</c:v>
                </c:pt>
                <c:pt idx="2">
                  <c:v>Peak</c:v>
                </c:pt>
              </c:strCache>
            </c:strRef>
          </c:cat>
          <c:val>
            <c:numRef>
              <c:f>Pivot_tables!$H$6:$H$8</c:f>
              <c:numCache>
                <c:formatCode>0.00</c:formatCode>
                <c:ptCount val="3"/>
                <c:pt idx="0">
                  <c:v>97.842500000000001</c:v>
                </c:pt>
                <c:pt idx="1">
                  <c:v>110.72666666666667</c:v>
                </c:pt>
                <c:pt idx="2">
                  <c:v>112.4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2-4D64-8439-E30C0E851342}"/>
            </c:ext>
          </c:extLst>
        </c:ser>
        <c:ser>
          <c:idx val="1"/>
          <c:order val="1"/>
          <c:tx>
            <c:strRef>
              <c:f>Pivot_tables!$I$5</c:f>
              <c:strCache>
                <c:ptCount val="1"/>
                <c:pt idx="0">
                  <c:v>Average of Brent_Oil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Pivot_tables!$G$6:$G$8</c:f>
              <c:strCache>
                <c:ptCount val="3"/>
                <c:pt idx="0">
                  <c:v>Pre-Crisis</c:v>
                </c:pt>
                <c:pt idx="1">
                  <c:v>Escalation</c:v>
                </c:pt>
                <c:pt idx="2">
                  <c:v>Peak</c:v>
                </c:pt>
              </c:strCache>
            </c:strRef>
          </c:cat>
          <c:val>
            <c:numRef>
              <c:f>Pivot_tables!$I$6:$I$8</c:f>
              <c:numCache>
                <c:formatCode>0.00</c:formatCode>
                <c:ptCount val="3"/>
                <c:pt idx="0">
                  <c:v>100.3425</c:v>
                </c:pt>
                <c:pt idx="1">
                  <c:v>113.22666666666667</c:v>
                </c:pt>
                <c:pt idx="2">
                  <c:v>114.9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2-4D64-8439-E30C0E851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965456"/>
        <c:axId val="1084957296"/>
      </c:barChart>
      <c:catAx>
        <c:axId val="10849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57296"/>
        <c:crosses val="autoZero"/>
        <c:auto val="1"/>
        <c:lblAlgn val="ctr"/>
        <c:lblOffset val="100"/>
        <c:noMultiLvlLbl val="0"/>
      </c:catAx>
      <c:valAx>
        <c:axId val="10849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6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Pivot_tables!$B$5:$B$6</c:f>
              <c:strCache>
                <c:ptCount val="1"/>
                <c:pt idx="0">
                  <c:v>Escalation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Pivot_tables!$A$7:$A$18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Pakistan</c:v>
                </c:pt>
                <c:pt idx="8">
                  <c:v>Saudi Arabia</c:v>
                </c:pt>
                <c:pt idx="9">
                  <c:v>UAE</c:v>
                </c:pt>
                <c:pt idx="10">
                  <c:v>UK</c:v>
                </c:pt>
                <c:pt idx="11">
                  <c:v>USA</c:v>
                </c:pt>
              </c:strCache>
            </c:strRef>
          </c:cat>
          <c:val>
            <c:numRef>
              <c:f>Pivot_tables!$B$7:$B$18</c:f>
              <c:numCache>
                <c:formatCode>0.00</c:formatCode>
                <c:ptCount val="12"/>
                <c:pt idx="0">
                  <c:v>5.37</c:v>
                </c:pt>
                <c:pt idx="1">
                  <c:v>5.13</c:v>
                </c:pt>
                <c:pt idx="2">
                  <c:v>3.3966666666666669</c:v>
                </c:pt>
                <c:pt idx="3">
                  <c:v>5.5333333333333341</c:v>
                </c:pt>
                <c:pt idx="4">
                  <c:v>6.2833333333333341</c:v>
                </c:pt>
                <c:pt idx="5">
                  <c:v>106.55333333333333</c:v>
                </c:pt>
                <c:pt idx="6">
                  <c:v>5.7566666666666668</c:v>
                </c:pt>
                <c:pt idx="7">
                  <c:v>106.52333333333333</c:v>
                </c:pt>
                <c:pt idx="8">
                  <c:v>1.8466666666666667</c:v>
                </c:pt>
                <c:pt idx="9">
                  <c:v>1.8933333333333333</c:v>
                </c:pt>
                <c:pt idx="10">
                  <c:v>5.8933333333333335</c:v>
                </c:pt>
                <c:pt idx="11">
                  <c:v>3.7266666666666666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7-46BC-87EF-44F4C181D602}"/>
            </c:ext>
          </c:extLst>
        </c:ser>
        <c:ser>
          <c:idx val="1"/>
          <c:order val="1"/>
          <c:tx>
            <c:strRef>
              <c:f>Pivot_tables!$C$5:$C$6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Pivot_tables!$A$7:$A$18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Pakistan</c:v>
                </c:pt>
                <c:pt idx="8">
                  <c:v>Saudi Arabia</c:v>
                </c:pt>
                <c:pt idx="9">
                  <c:v>UAE</c:v>
                </c:pt>
                <c:pt idx="10">
                  <c:v>UK</c:v>
                </c:pt>
                <c:pt idx="11">
                  <c:v>USA</c:v>
                </c:pt>
              </c:strCache>
            </c:strRef>
          </c:cat>
          <c:val>
            <c:numRef>
              <c:f>Pivot_tables!$C$7:$C$18</c:f>
              <c:numCache>
                <c:formatCode>0.00</c:formatCode>
                <c:ptCount val="12"/>
                <c:pt idx="0">
                  <c:v>5.54</c:v>
                </c:pt>
                <c:pt idx="1">
                  <c:v>5.27</c:v>
                </c:pt>
                <c:pt idx="2">
                  <c:v>3.5</c:v>
                </c:pt>
                <c:pt idx="3">
                  <c:v>5.7</c:v>
                </c:pt>
                <c:pt idx="4">
                  <c:v>6.44</c:v>
                </c:pt>
                <c:pt idx="5">
                  <c:v>110.48</c:v>
                </c:pt>
                <c:pt idx="6">
                  <c:v>5.93</c:v>
                </c:pt>
                <c:pt idx="7">
                  <c:v>116.19</c:v>
                </c:pt>
                <c:pt idx="8">
                  <c:v>1.88</c:v>
                </c:pt>
                <c:pt idx="9">
                  <c:v>1.91</c:v>
                </c:pt>
                <c:pt idx="10">
                  <c:v>6.08</c:v>
                </c:pt>
                <c:pt idx="11">
                  <c:v>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7-46BC-87EF-44F4C181D602}"/>
            </c:ext>
          </c:extLst>
        </c:ser>
        <c:ser>
          <c:idx val="2"/>
          <c:order val="2"/>
          <c:tx>
            <c:strRef>
              <c:f>Pivot_tables!$D$5:$D$6</c:f>
              <c:strCache>
                <c:ptCount val="1"/>
                <c:pt idx="0">
                  <c:v>Pre-Crisis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Pivot_tables!$A$7:$A$18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Pakistan</c:v>
                </c:pt>
                <c:pt idx="8">
                  <c:v>Saudi Arabia</c:v>
                </c:pt>
                <c:pt idx="9">
                  <c:v>UAE</c:v>
                </c:pt>
                <c:pt idx="10">
                  <c:v>UK</c:v>
                </c:pt>
                <c:pt idx="11">
                  <c:v>USA</c:v>
                </c:pt>
              </c:strCache>
            </c:strRef>
          </c:cat>
          <c:val>
            <c:numRef>
              <c:f>Pivot_tables!$D$7:$D$18</c:f>
              <c:numCache>
                <c:formatCode>0.00</c:formatCode>
                <c:ptCount val="12"/>
                <c:pt idx="0">
                  <c:v>5.0750000000000002</c:v>
                </c:pt>
                <c:pt idx="1">
                  <c:v>4.8849999999999998</c:v>
                </c:pt>
                <c:pt idx="2">
                  <c:v>3.2050000000000001</c:v>
                </c:pt>
                <c:pt idx="3">
                  <c:v>5.2450000000000001</c:v>
                </c:pt>
                <c:pt idx="4">
                  <c:v>6.01</c:v>
                </c:pt>
                <c:pt idx="5">
                  <c:v>99.67</c:v>
                </c:pt>
                <c:pt idx="6">
                  <c:v>5.4649999999999999</c:v>
                </c:pt>
                <c:pt idx="7">
                  <c:v>89.594999999999999</c:v>
                </c:pt>
                <c:pt idx="8">
                  <c:v>1.8000000000000003</c:v>
                </c:pt>
                <c:pt idx="9">
                  <c:v>1.865</c:v>
                </c:pt>
                <c:pt idx="10">
                  <c:v>5.5625</c:v>
                </c:pt>
                <c:pt idx="11">
                  <c:v>3.5350000000000001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07-46BC-87EF-44F4C181D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959216"/>
        <c:axId val="1084966896"/>
      </c:barChart>
      <c:catAx>
        <c:axId val="10849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66896"/>
        <c:crosses val="autoZero"/>
        <c:auto val="1"/>
        <c:lblAlgn val="ctr"/>
        <c:lblOffset val="100"/>
        <c:noMultiLvlLbl val="0"/>
      </c:catAx>
      <c:valAx>
        <c:axId val="10849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5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Pivot_tables!$L$5:$L$6</c:f>
              <c:strCache>
                <c:ptCount val="1"/>
                <c:pt idx="0">
                  <c:v>Broad Market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Pivot_tables!$K$7:$K$14</c:f>
              <c:strCache>
                <c:ptCount val="8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  <c:pt idx="5">
                  <c:v>06-04-2026</c:v>
                </c:pt>
                <c:pt idx="6">
                  <c:v>07-04-2026</c:v>
                </c:pt>
                <c:pt idx="7">
                  <c:v>08-04-2026</c:v>
                </c:pt>
              </c:strCache>
            </c:strRef>
          </c:cat>
          <c:val>
            <c:numRef>
              <c:f>Pivot_tables!$L$7:$L$14</c:f>
              <c:numCache>
                <c:formatCode>0.00</c:formatCode>
                <c:ptCount val="8"/>
                <c:pt idx="0">
                  <c:v>-0.4</c:v>
                </c:pt>
                <c:pt idx="1">
                  <c:v>-0.72499999999999998</c:v>
                </c:pt>
                <c:pt idx="2">
                  <c:v>-1.0549999999999999</c:v>
                </c:pt>
                <c:pt idx="3">
                  <c:v>-1.375</c:v>
                </c:pt>
                <c:pt idx="4">
                  <c:v>-1.7000000000000002</c:v>
                </c:pt>
                <c:pt idx="5">
                  <c:v>-2.0249999999999999</c:v>
                </c:pt>
                <c:pt idx="6">
                  <c:v>-2.3499999999999996</c:v>
                </c:pt>
                <c:pt idx="7">
                  <c:v>-2.6749999999999998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6-4FB6-83DF-C9ED7C5DD3C2}"/>
            </c:ext>
          </c:extLst>
        </c:ser>
        <c:ser>
          <c:idx val="1"/>
          <c:order val="1"/>
          <c:tx>
            <c:strRef>
              <c:f>Pivot_tables!$M$5:$M$6</c:f>
              <c:strCache>
                <c:ptCount val="1"/>
                <c:pt idx="0">
                  <c:v>Energy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Pivot_tables!$K$7:$K$14</c:f>
              <c:strCache>
                <c:ptCount val="8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  <c:pt idx="5">
                  <c:v>06-04-2026</c:v>
                </c:pt>
                <c:pt idx="6">
                  <c:v>07-04-2026</c:v>
                </c:pt>
                <c:pt idx="7">
                  <c:v>08-04-2026</c:v>
                </c:pt>
              </c:strCache>
            </c:strRef>
          </c:cat>
          <c:val>
            <c:numRef>
              <c:f>Pivot_tables!$M$7:$M$14</c:f>
              <c:numCache>
                <c:formatCode>0.00</c:formatCode>
                <c:ptCount val="8"/>
                <c:pt idx="0">
                  <c:v>-0.75</c:v>
                </c:pt>
                <c:pt idx="1">
                  <c:v>0.33</c:v>
                </c:pt>
                <c:pt idx="2">
                  <c:v>1.4125000000000001</c:v>
                </c:pt>
                <c:pt idx="3">
                  <c:v>2.4925000000000002</c:v>
                </c:pt>
                <c:pt idx="4">
                  <c:v>3.5749999999999997</c:v>
                </c:pt>
                <c:pt idx="5">
                  <c:v>4.6550000000000002</c:v>
                </c:pt>
                <c:pt idx="6">
                  <c:v>5.7349999999999994</c:v>
                </c:pt>
                <c:pt idx="7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A6-4FB6-83DF-C9ED7C5DD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956336"/>
        <c:axId val="1084940016"/>
      </c:lineChart>
      <c:catAx>
        <c:axId val="108495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40016"/>
        <c:crosses val="autoZero"/>
        <c:auto val="1"/>
        <c:lblAlgn val="ctr"/>
        <c:lblOffset val="100"/>
        <c:noMultiLvlLbl val="0"/>
      </c:catAx>
      <c:valAx>
        <c:axId val="10849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5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Pivot_tables!$P$5</c:f>
              <c:strCache>
                <c:ptCount val="1"/>
                <c:pt idx="0">
                  <c:v>Average of Days_Delay_Average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Pivot_tables!$O$6:$O$9</c:f>
              <c:strCache>
                <c:ptCount val="4"/>
                <c:pt idx="0">
                  <c:v>Malacca Strait</c:v>
                </c:pt>
                <c:pt idx="1">
                  <c:v>Panama Canal</c:v>
                </c:pt>
                <c:pt idx="2">
                  <c:v>Strait of Hormuz</c:v>
                </c:pt>
                <c:pt idx="3">
                  <c:v>Suez Canal</c:v>
                </c:pt>
              </c:strCache>
            </c:strRef>
          </c:cat>
          <c:val>
            <c:numRef>
              <c:f>Pivot_tables!$P$6:$P$9</c:f>
              <c:numCache>
                <c:formatCode>General</c:formatCode>
                <c:ptCount val="4"/>
                <c:pt idx="0">
                  <c:v>1.75</c:v>
                </c:pt>
                <c:pt idx="1">
                  <c:v>1.75</c:v>
                </c:pt>
                <c:pt idx="2">
                  <c:v>1.75</c:v>
                </c:pt>
                <c:pt idx="3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1-4098-9BB7-1E1CB5BE80A8}"/>
            </c:ext>
          </c:extLst>
        </c:ser>
        <c:ser>
          <c:idx val="1"/>
          <c:order val="1"/>
          <c:tx>
            <c:strRef>
              <c:f>Pivot_tables!$Q$5</c:f>
              <c:strCache>
                <c:ptCount val="1"/>
                <c:pt idx="0">
                  <c:v>Average of Insurance_Premium_Increase_Percent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Pivot_tables!$O$6:$O$9</c:f>
              <c:strCache>
                <c:ptCount val="4"/>
                <c:pt idx="0">
                  <c:v>Malacca Strait</c:v>
                </c:pt>
                <c:pt idx="1">
                  <c:v>Panama Canal</c:v>
                </c:pt>
                <c:pt idx="2">
                  <c:v>Strait of Hormuz</c:v>
                </c:pt>
                <c:pt idx="3">
                  <c:v>Suez Canal</c:v>
                </c:pt>
              </c:strCache>
            </c:strRef>
          </c:cat>
          <c:val>
            <c:numRef>
              <c:f>Pivot_tables!$Q$6:$Q$9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1-4098-9BB7-1E1CB5BE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218736"/>
        <c:axId val="993230256"/>
      </c:barChart>
      <c:lineChart>
        <c:grouping val="standard"/>
        <c:varyColors val="0"/>
        <c:ser>
          <c:idx val="2"/>
          <c:order val="2"/>
          <c:tx>
            <c:strRef>
              <c:f>Pivot_tables!$R$5</c:f>
              <c:strCache>
                <c:ptCount val="1"/>
                <c:pt idx="0">
                  <c:v>Average of Avg_Freight_Rate_USD_per_TEU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Pivot_tables!$O$6:$O$9</c:f>
              <c:strCache>
                <c:ptCount val="4"/>
                <c:pt idx="0">
                  <c:v>Malacca Strait</c:v>
                </c:pt>
                <c:pt idx="1">
                  <c:v>Panama Canal</c:v>
                </c:pt>
                <c:pt idx="2">
                  <c:v>Strait of Hormuz</c:v>
                </c:pt>
                <c:pt idx="3">
                  <c:v>Suez Canal</c:v>
                </c:pt>
              </c:strCache>
            </c:strRef>
          </c:cat>
          <c:val>
            <c:numRef>
              <c:f>Pivot_tables!$R$6:$R$9</c:f>
              <c:numCache>
                <c:formatCode>0.0</c:formatCode>
                <c:ptCount val="4"/>
                <c:pt idx="0">
                  <c:v>2149.3825000000002</c:v>
                </c:pt>
                <c:pt idx="1">
                  <c:v>2347.3812499999999</c:v>
                </c:pt>
                <c:pt idx="2">
                  <c:v>2118.915</c:v>
                </c:pt>
                <c:pt idx="3">
                  <c:v>2290.41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D1-4098-9BB7-1E1CB5BE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163072"/>
        <c:axId val="888148672"/>
      </c:lineChart>
      <c:catAx>
        <c:axId val="9932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230256"/>
        <c:crosses val="autoZero"/>
        <c:auto val="1"/>
        <c:lblAlgn val="ctr"/>
        <c:lblOffset val="100"/>
        <c:noMultiLvlLbl val="0"/>
      </c:catAx>
      <c:valAx>
        <c:axId val="9932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218736"/>
        <c:crosses val="autoZero"/>
        <c:crossBetween val="between"/>
      </c:valAx>
      <c:valAx>
        <c:axId val="88814867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163072"/>
        <c:crosses val="max"/>
        <c:crossBetween val="between"/>
      </c:valAx>
      <c:catAx>
        <c:axId val="888163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814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51010101010099"/>
          <c:y val="0.14671714112658996"/>
          <c:w val="0.31755050505050503"/>
          <c:h val="0.79374480113062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[Cleaning_Data_Rough_Dashboard.xlsx]Pivot_tables!PivotTable6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Pivot_tables!$U$5</c:f>
              <c:strCache>
                <c:ptCount val="1"/>
                <c:pt idx="0">
                  <c:v>Sum of Article_Mentions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Pivot_tables!$T$6:$T$13</c:f>
              <c:strCache>
                <c:ptCount val="8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  <c:pt idx="5">
                  <c:v>06-04-2026</c:v>
                </c:pt>
                <c:pt idx="6">
                  <c:v>07-04-2026</c:v>
                </c:pt>
                <c:pt idx="7">
                  <c:v>08-04-2026</c:v>
                </c:pt>
              </c:strCache>
            </c:strRef>
          </c:cat>
          <c:val>
            <c:numRef>
              <c:f>Pivot_tables!$U$6:$U$13</c:f>
              <c:numCache>
                <c:formatCode>General</c:formatCode>
                <c:ptCount val="8"/>
                <c:pt idx="0">
                  <c:v>334</c:v>
                </c:pt>
                <c:pt idx="1">
                  <c:v>666</c:v>
                </c:pt>
                <c:pt idx="2">
                  <c:v>914</c:v>
                </c:pt>
                <c:pt idx="3">
                  <c:v>1256</c:v>
                </c:pt>
                <c:pt idx="4">
                  <c:v>1542</c:v>
                </c:pt>
                <c:pt idx="5">
                  <c:v>1696</c:v>
                </c:pt>
                <c:pt idx="6">
                  <c:v>1839</c:v>
                </c:pt>
                <c:pt idx="7">
                  <c:v>2236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4-4481-B9AE-2ABEC4F6B1C0}"/>
            </c:ext>
          </c:extLst>
        </c:ser>
        <c:ser>
          <c:idx val="1"/>
          <c:order val="1"/>
          <c:tx>
            <c:strRef>
              <c:f>Pivot_tables!$V$5</c:f>
              <c:strCache>
                <c:ptCount val="1"/>
                <c:pt idx="0">
                  <c:v>Average of Sentiment_Score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Pivot_tables!$T$6:$T$13</c:f>
              <c:strCache>
                <c:ptCount val="8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  <c:pt idx="5">
                  <c:v>06-04-2026</c:v>
                </c:pt>
                <c:pt idx="6">
                  <c:v>07-04-2026</c:v>
                </c:pt>
                <c:pt idx="7">
                  <c:v>08-04-2026</c:v>
                </c:pt>
              </c:strCache>
            </c:strRef>
          </c:cat>
          <c:val>
            <c:numRef>
              <c:f>Pivot_tables!$V$6:$V$13</c:f>
              <c:numCache>
                <c:formatCode>General</c:formatCode>
                <c:ptCount val="8"/>
                <c:pt idx="0">
                  <c:v>0.3</c:v>
                </c:pt>
                <c:pt idx="1">
                  <c:v>0.22</c:v>
                </c:pt>
                <c:pt idx="2">
                  <c:v>0.14000000000000001</c:v>
                </c:pt>
                <c:pt idx="3">
                  <c:v>0.06</c:v>
                </c:pt>
                <c:pt idx="4">
                  <c:v>-0.02</c:v>
                </c:pt>
                <c:pt idx="5">
                  <c:v>-9.9999999999999992E-2</c:v>
                </c:pt>
                <c:pt idx="6">
                  <c:v>-0.17999999999999997</c:v>
                </c:pt>
                <c:pt idx="7">
                  <c:v>-0.26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4-4481-B9AE-2ABEC4F6B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107232"/>
        <c:axId val="1181105792"/>
      </c:lineChart>
      <c:catAx>
        <c:axId val="11811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05792"/>
        <c:crosses val="autoZero"/>
        <c:auto val="1"/>
        <c:lblAlgn val="ctr"/>
        <c:lblOffset val="100"/>
        <c:noMultiLvlLbl val="0"/>
      </c:catAx>
      <c:valAx>
        <c:axId val="118110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167640</xdr:rowOff>
    </xdr:from>
    <xdr:to>
      <xdr:col>3</xdr:col>
      <xdr:colOff>563880</xdr:colOff>
      <xdr:row>5</xdr:row>
      <xdr:rowOff>160020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1296040-72DD-354C-4DE9-263298F478C9}"/>
            </a:ext>
          </a:extLst>
        </xdr:cNvPr>
        <xdr:cNvSpPr/>
      </xdr:nvSpPr>
      <xdr:spPr>
        <a:xfrm>
          <a:off x="609600" y="533400"/>
          <a:ext cx="1783080" cy="54102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419100</xdr:colOff>
      <xdr:row>2</xdr:row>
      <xdr:rowOff>167640</xdr:rowOff>
    </xdr:from>
    <xdr:to>
      <xdr:col>8</xdr:col>
      <xdr:colOff>369570</xdr:colOff>
      <xdr:row>5</xdr:row>
      <xdr:rowOff>163830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A94FE0B-C52B-409D-BD0F-2E6D2D1AD7AB}"/>
            </a:ext>
          </a:extLst>
        </xdr:cNvPr>
        <xdr:cNvSpPr/>
      </xdr:nvSpPr>
      <xdr:spPr>
        <a:xfrm>
          <a:off x="3467100" y="529590"/>
          <a:ext cx="1779270" cy="53911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281940</xdr:colOff>
      <xdr:row>2</xdr:row>
      <xdr:rowOff>160020</xdr:rowOff>
    </xdr:from>
    <xdr:to>
      <xdr:col>13</xdr:col>
      <xdr:colOff>236220</xdr:colOff>
      <xdr:row>5</xdr:row>
      <xdr:rowOff>152400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80E7E69-3C54-4160-8D4D-9A6BA6424F45}"/>
            </a:ext>
          </a:extLst>
        </xdr:cNvPr>
        <xdr:cNvSpPr/>
      </xdr:nvSpPr>
      <xdr:spPr>
        <a:xfrm>
          <a:off x="6377940" y="525780"/>
          <a:ext cx="1783080" cy="54102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7620</xdr:colOff>
      <xdr:row>2</xdr:row>
      <xdr:rowOff>152400</xdr:rowOff>
    </xdr:from>
    <xdr:to>
      <xdr:col>17</xdr:col>
      <xdr:colOff>571500</xdr:colOff>
      <xdr:row>5</xdr:row>
      <xdr:rowOff>144780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0063EFD-9340-4D7B-87D4-F1FB27ABAD28}"/>
            </a:ext>
          </a:extLst>
        </xdr:cNvPr>
        <xdr:cNvSpPr/>
      </xdr:nvSpPr>
      <xdr:spPr>
        <a:xfrm>
          <a:off x="9151620" y="518160"/>
          <a:ext cx="1783080" cy="54102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114300</xdr:colOff>
      <xdr:row>6</xdr:row>
      <xdr:rowOff>160020</xdr:rowOff>
    </xdr:from>
    <xdr:to>
      <xdr:col>7</xdr:col>
      <xdr:colOff>76200</xdr:colOff>
      <xdr:row>19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B7D08E-39C9-4270-85A7-9F0CBD250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160020</xdr:colOff>
      <xdr:row>6</xdr:row>
      <xdr:rowOff>160020</xdr:rowOff>
    </xdr:from>
    <xdr:to>
      <xdr:col>13</xdr:col>
      <xdr:colOff>594360</xdr:colOff>
      <xdr:row>19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A1AAA6-10D2-4BAC-8064-4F115172C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19</xdr:row>
      <xdr:rowOff>137160</xdr:rowOff>
    </xdr:from>
    <xdr:to>
      <xdr:col>7</xdr:col>
      <xdr:colOff>68580</xdr:colOff>
      <xdr:row>32</xdr:row>
      <xdr:rowOff>129540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D0A9FC-CC47-456B-B9A6-417B17B9F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68580</xdr:colOff>
      <xdr:row>6</xdr:row>
      <xdr:rowOff>167640</xdr:rowOff>
    </xdr:from>
    <xdr:to>
      <xdr:col>18</xdr:col>
      <xdr:colOff>480060</xdr:colOff>
      <xdr:row>32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F940A1-2AE2-4C04-A0D5-4B9A22798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175260</xdr:colOff>
      <xdr:row>19</xdr:row>
      <xdr:rowOff>152400</xdr:rowOff>
    </xdr:from>
    <xdr:to>
      <xdr:col>13</xdr:col>
      <xdr:colOff>571500</xdr:colOff>
      <xdr:row>32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4556BB-B1B3-4E73-835D-E51B4F06A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533400</xdr:colOff>
      <xdr:row>14</xdr:row>
      <xdr:rowOff>28575</xdr:rowOff>
    </xdr:from>
    <xdr:to>
      <xdr:col>15</xdr:col>
      <xdr:colOff>228600</xdr:colOff>
      <xdr:row>19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FB9631-94E7-C8A7-9AD1-BEA37DC0C803}"/>
            </a:ext>
          </a:extLst>
        </xdr:cNvPr>
        <xdr:cNvSpPr txBox="1"/>
      </xdr:nvSpPr>
      <xdr:spPr>
        <a:xfrm>
          <a:off x="8458200" y="2562225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oneCellAnchor>
    <xdr:from>
      <xdr:col>1</xdr:col>
      <xdr:colOff>123825</xdr:colOff>
      <xdr:row>3</xdr:row>
      <xdr:rowOff>112210</xdr:rowOff>
    </xdr:from>
    <xdr:ext cx="1358264" cy="280205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1C30D2-80DC-6A77-085E-7AAFF7223CF5}"/>
            </a:ext>
          </a:extLst>
        </xdr:cNvPr>
        <xdr:cNvSpPr/>
      </xdr:nvSpPr>
      <xdr:spPr>
        <a:xfrm>
          <a:off x="733425" y="655135"/>
          <a:ext cx="1358264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Avg_of_WTI_Oil</a:t>
          </a:r>
        </a:p>
      </xdr:txBody>
    </xdr:sp>
    <xdr:clientData/>
  </xdr:oneCellAnchor>
  <xdr:oneCellAnchor>
    <xdr:from>
      <xdr:col>5</xdr:col>
      <xdr:colOff>590550</xdr:colOff>
      <xdr:row>3</xdr:row>
      <xdr:rowOff>104775</xdr:rowOff>
    </xdr:from>
    <xdr:ext cx="1358264" cy="280205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82507CB-8BBF-47AA-BE9B-D748D8BEB34F}"/>
            </a:ext>
          </a:extLst>
        </xdr:cNvPr>
        <xdr:cNvSpPr/>
      </xdr:nvSpPr>
      <xdr:spPr>
        <a:xfrm>
          <a:off x="3638550" y="647700"/>
          <a:ext cx="1358264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USD_Index</a:t>
          </a:r>
        </a:p>
      </xdr:txBody>
    </xdr:sp>
    <xdr:clientData/>
  </xdr:oneCellAnchor>
  <xdr:oneCellAnchor>
    <xdr:from>
      <xdr:col>10</xdr:col>
      <xdr:colOff>514350</xdr:colOff>
      <xdr:row>3</xdr:row>
      <xdr:rowOff>110490</xdr:rowOff>
    </xdr:from>
    <xdr:ext cx="1358264" cy="280205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1484E38-91C9-4103-9F86-A479402C4219}"/>
            </a:ext>
          </a:extLst>
        </xdr:cNvPr>
        <xdr:cNvSpPr/>
      </xdr:nvSpPr>
      <xdr:spPr>
        <a:xfrm>
          <a:off x="6610350" y="653415"/>
          <a:ext cx="1358264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Freight</a:t>
          </a:r>
          <a:r>
            <a:rPr lang="en-US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US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205740</xdr:colOff>
      <xdr:row>3</xdr:row>
      <xdr:rowOff>100965</xdr:rowOff>
    </xdr:from>
    <xdr:ext cx="1358264" cy="280205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80270DD-42C8-44B3-86E1-3E5EB8FAE86B}"/>
            </a:ext>
          </a:extLst>
        </xdr:cNvPr>
        <xdr:cNvSpPr/>
      </xdr:nvSpPr>
      <xdr:spPr>
        <a:xfrm>
          <a:off x="9349740" y="643890"/>
          <a:ext cx="1358264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Sentiment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16</xdr:row>
      <xdr:rowOff>106680</xdr:rowOff>
    </xdr:from>
    <xdr:to>
      <xdr:col>9</xdr:col>
      <xdr:colOff>259080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54152-4226-513A-2D19-243F7635B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29</xdr:row>
      <xdr:rowOff>83820</xdr:rowOff>
    </xdr:from>
    <xdr:to>
      <xdr:col>6</xdr:col>
      <xdr:colOff>320040</xdr:colOff>
      <xdr:row>43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71BE45-3057-AB0B-1B28-86A8F071C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449580</xdr:colOff>
      <xdr:row>22</xdr:row>
      <xdr:rowOff>7620</xdr:rowOff>
    </xdr:from>
    <xdr:to>
      <xdr:col>14</xdr:col>
      <xdr:colOff>76200</xdr:colOff>
      <xdr:row>32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B14351-0B66-2EF2-E071-401CBC0F4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190500</xdr:colOff>
      <xdr:row>15</xdr:row>
      <xdr:rowOff>60960</xdr:rowOff>
    </xdr:from>
    <xdr:to>
      <xdr:col>17</xdr:col>
      <xdr:colOff>1051560</xdr:colOff>
      <xdr:row>28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E061C0-EEE0-8D1A-442D-FCE54969E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510540</xdr:colOff>
      <xdr:row>19</xdr:row>
      <xdr:rowOff>160020</xdr:rowOff>
    </xdr:from>
    <xdr:to>
      <xdr:col>22</xdr:col>
      <xdr:colOff>152400</xdr:colOff>
      <xdr:row>30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1A8F28-9FF8-5299-5A20-6111EEB42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53.802069907404" createdVersion="8" refreshedVersion="8" minRefreshableVersion="3" recordCount="8" xr:uid="{956205D5-58EF-48A2-A29D-C339EA72193B}">
  <cacheSource type="worksheet">
    <worksheetSource name="Table1"/>
  </cacheSource>
  <cacheFields count="14">
    <cacheField name="Date" numFmtId="14">
      <sharedItems containsSemiMixedTypes="0" containsNonDate="0" containsDate="1" containsString="0" minDate="2026-04-01T00:00:00" maxDate="2026-04-09T00:00:00" count="8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</sharedItems>
    </cacheField>
    <cacheField name="Day_of_week" numFmtId="14">
      <sharedItems/>
    </cacheField>
    <cacheField name="Crisis_Phase" numFmtId="0">
      <sharedItems count="3">
        <s v="Pre-Crisis"/>
        <s v="Escalation"/>
        <s v="Peak"/>
      </sharedItems>
    </cacheField>
    <cacheField name="WTI_Oil" numFmtId="0">
      <sharedItems containsSemiMixedTypes="0" containsString="0" containsNumber="1" minValue="93.49" maxValue="112.52"/>
    </cacheField>
    <cacheField name="Brent_Oil" numFmtId="0">
      <sharedItems containsSemiMixedTypes="0" containsString="0" containsNumber="1" minValue="95.99" maxValue="115.02"/>
    </cacheField>
    <cacheField name="INR_USD" numFmtId="0">
      <sharedItems containsSemiMixedTypes="0" containsString="0" containsNumber="1" minValue="83.1" maxValue="83.24"/>
    </cacheField>
    <cacheField name="USD_Index" numFmtId="0">
      <sharedItems containsSemiMixedTypes="0" containsString="0" containsNumber="1" minValue="104.5" maxValue="106.95"/>
    </cacheField>
    <cacheField name="SPLG (S&amp;P 500)" numFmtId="0">
      <sharedItems containsSemiMixedTypes="0" containsString="0" containsNumber="1" minValue="-2.86" maxValue="-0.5"/>
    </cacheField>
    <cacheField name="Fright Rate(Hormuz)" numFmtId="0">
      <sharedItems containsSemiMixedTypes="0" containsString="0" containsNumber="1" minValue="1518.98" maxValue="2781.18"/>
    </cacheField>
    <cacheField name="Sentiment Score" numFmtId="0">
      <sharedItems containsSemiMixedTypes="0" containsString="0" containsNumber="1" minValue="-0.26" maxValue="0.3"/>
    </cacheField>
    <cacheField name="Oil_Change_from_day_0(%)" numFmtId="2">
      <sharedItems containsSemiMixedTypes="0" containsString="0" containsNumber="1" minValue="-2.0263064344116613" maxValue="16.915210907541553"/>
    </cacheField>
    <cacheField name="Fuel_price(India)_from_day0(%)" numFmtId="2">
      <sharedItems containsSemiMixedTypes="0" containsString="0" containsNumber="1" minValue="-2.406159769009893E-2" maxValue="0"/>
    </cacheField>
    <cacheField name="USD_Index_From_Day0(%)" numFmtId="2">
      <sharedItems containsSemiMixedTypes="0" containsString="0" containsNumber="1" minValue="0" maxValue="0.3349282296650663"/>
    </cacheField>
    <cacheField name="FrightRate_From_day0(%)" numFmtId="2">
      <sharedItems containsSemiMixedTypes="0" containsString="0" containsNumber="1" minValue="-21.300043003176015" maxValue="34.3065452626022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53.810084259261" createdVersion="8" refreshedVersion="8" minRefreshableVersion="3" recordCount="96" xr:uid="{250ABBB9-CD99-493B-A3ED-FCA13F9441A1}">
  <cacheSource type="worksheet">
    <worksheetSource ref="A1:F97" sheet="global_fuel_prices_april_2026"/>
  </cacheSource>
  <cacheFields count="6">
    <cacheField name="Date" numFmtId="14">
      <sharedItems containsSemiMixedTypes="0" containsNonDate="0" containsDate="1" containsString="0" minDate="2026-04-01T00:00:00" maxDate="2026-04-09T00:00:00"/>
    </cacheField>
    <cacheField name="Country" numFmtId="0">
      <sharedItems count="12">
        <s v="USA"/>
        <s v="India"/>
        <s v="UK"/>
        <s v="Germany"/>
        <s v="China"/>
        <s v="Japan"/>
        <s v="Brazil"/>
        <s v="Canada"/>
        <s v="Australia"/>
        <s v="UAE"/>
        <s v="Saudi Arabia"/>
        <s v="Pakistan"/>
      </sharedItems>
    </cacheField>
    <cacheField name="Fuel_Price_Per_Liter_USD" numFmtId="0">
      <sharedItems containsSemiMixedTypes="0" containsString="0" containsNumber="1" minValue="1.78" maxValue="116.19"/>
    </cacheField>
    <cacheField name="Currency" numFmtId="0">
      <sharedItems/>
    </cacheField>
    <cacheField name="Days_Since_Crisis_Start" numFmtId="0">
      <sharedItems containsSemiMixedTypes="0" containsString="0" containsNumber="1" containsInteger="1" minValue="0" maxValue="7"/>
    </cacheField>
    <cacheField name="Crisis_Phase" numFmtId="0">
      <sharedItems count="3">
        <s v="Pre-Crisis"/>
        <s v="Escalation"/>
        <s v="Pea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53.817666435185" createdVersion="8" refreshedVersion="8" minRefreshableVersion="3" recordCount="48" xr:uid="{0927B6A9-E02B-4A22-9BEC-9C231678F835}">
  <cacheSource type="worksheet">
    <worksheetSource ref="A1:G49" sheet="stock_market_impact_energy_sect"/>
  </cacheSource>
  <cacheFields count="7">
    <cacheField name="Date" numFmtId="14">
      <sharedItems containsSemiMixedTypes="0" containsNonDate="0" containsDate="1" containsString="0" minDate="2026-04-01T00:00:00" maxDate="2026-04-09T00:00:00" count="8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</sharedItems>
    </cacheField>
    <cacheField name="Stock_Symbol" numFmtId="0">
      <sharedItems/>
    </cacheField>
    <cacheField name="Opening_Price" numFmtId="0">
      <sharedItems containsSemiMixedTypes="0" containsString="0" containsNumber="1" minValue="76.38" maxValue="135.94999999999999"/>
    </cacheField>
    <cacheField name="Closing_Price" numFmtId="0">
      <sharedItems containsSemiMixedTypes="0" containsString="0" containsNumber="1" minValue="74.19" maxValue="145.85"/>
    </cacheField>
    <cacheField name="Percent_Change" numFmtId="0">
      <sharedItems containsSemiMixedTypes="0" containsString="0" containsNumber="1" minValue="-2.86" maxValue="7.78"/>
    </cacheField>
    <cacheField name="Trading_Volume" numFmtId="0">
      <sharedItems containsSemiMixedTypes="0" containsString="0" containsNumber="1" containsInteger="1" minValue="21094822" maxValue="79712642"/>
    </cacheField>
    <cacheField name="Sector" numFmtId="0">
      <sharedItems count="2">
        <s v="Energy"/>
        <s v="Broad Mark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53.827676388886" createdVersion="8" refreshedVersion="8" minRefreshableVersion="3" recordCount="32" xr:uid="{671F0705-109E-4A66-A97A-93279E6F020B}">
  <cacheSource type="worksheet">
    <worksheetSource ref="A1:G33" sheet="shipping_logistics_disruption"/>
  </cacheSource>
  <cacheFields count="7">
    <cacheField name="Date" numFmtId="14">
      <sharedItems containsSemiMixedTypes="0" containsNonDate="0" containsDate="1" containsString="0" minDate="2026-04-01T00:00:00" maxDate="2026-04-09T00:00:00"/>
    </cacheField>
    <cacheField name="Shipping_Route" numFmtId="0">
      <sharedItems count="4">
        <s v="Strait of Hormuz"/>
        <s v="Suez Canal"/>
        <s v="Panama Canal"/>
        <s v="Malacca Strait"/>
      </sharedItems>
    </cacheField>
    <cacheField name="Daily_Vessels_Passed" numFmtId="0">
      <sharedItems containsSemiMixedTypes="0" containsString="0" containsNumber="1" minValue="7.4" maxValue="15"/>
    </cacheField>
    <cacheField name="Avg_Freight_Rate_USD_per_TEU" numFmtId="0">
      <sharedItems containsSemiMixedTypes="0" containsString="0" containsNumber="1" minValue="1270.1199999999999" maxValue="3243.43"/>
    </cacheField>
    <cacheField name="Capacity_Utilization_Percent" numFmtId="0">
      <sharedItems containsSemiMixedTypes="0" containsString="0" containsNumber="1" containsInteger="1" minValue="50" maxValue="95"/>
    </cacheField>
    <cacheField name="Days_Delay_Average" numFmtId="0">
      <sharedItems containsSemiMixedTypes="0" containsString="0" containsNumber="1" minValue="0" maxValue="3.5"/>
    </cacheField>
    <cacheField name="Insurance_Premium_Increase_Percent" numFmtId="0">
      <sharedItems containsSemiMixedTypes="0" containsString="0" containsNumber="1" containsInteger="1" minValue="0" maxValue="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53.942888773148" createdVersion="8" refreshedVersion="8" minRefreshableVersion="3" recordCount="56" xr:uid="{599B49EA-9A5C-4ED3-AE6C-D25F0CA5479D}">
  <cacheSource type="worksheet">
    <worksheetSource ref="A1:G57" sheet="news_sentiment_media_coverage"/>
  </cacheSource>
  <cacheFields count="7">
    <cacheField name="Date" numFmtId="14">
      <sharedItems containsSemiMixedTypes="0" containsNonDate="0" containsDate="1" containsString="0" minDate="2026-04-01T00:00:00" maxDate="2026-04-09T00:00:00" count="8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</sharedItems>
    </cacheField>
    <cacheField name="News_Source" numFmtId="0">
      <sharedItems/>
    </cacheField>
    <cacheField name="Article_Mentions" numFmtId="0">
      <sharedItems containsSemiMixedTypes="0" containsString="0" containsNumber="1" containsInteger="1" minValue="35" maxValue="410"/>
    </cacheField>
    <cacheField name="Sentiment_Score" numFmtId="0">
      <sharedItems containsSemiMixedTypes="0" containsString="0" containsNumber="1" minValue="-0.26" maxValue="0.3"/>
    </cacheField>
    <cacheField name="Sentiment_Label" numFmtId="0">
      <sharedItems/>
    </cacheField>
    <cacheField name="Headline_Avg_Length" numFmtId="0">
      <sharedItems containsSemiMixedTypes="0" containsString="0" containsNumber="1" containsInteger="1" minValue="45" maxValue="116"/>
    </cacheField>
    <cacheField name="Shares_and_Engagement" numFmtId="0">
      <sharedItems containsSemiMixedTypes="0" containsString="0" containsNumber="1" containsInteger="1" minValue="5940" maxValue="490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Wednesday"/>
    <x v="0"/>
    <n v="93.49"/>
    <n v="95.99"/>
    <n v="83.24"/>
    <n v="104.5"/>
    <n v="-0.5"/>
    <n v="1741.66"/>
    <n v="0.3"/>
    <n v="0"/>
    <n v="0"/>
    <n v="0"/>
    <n v="0"/>
  </r>
  <r>
    <x v="1"/>
    <s v="Thursday"/>
    <x v="0"/>
    <n v="94.24"/>
    <n v="96.74"/>
    <n v="83.22"/>
    <n v="104.85"/>
    <n v="-0.84"/>
    <n v="1930.09"/>
    <n v="0.22"/>
    <n v="0.80222483688094992"/>
    <n v="-2.40269101393513E-2"/>
    <n v="0.3349282296650663"/>
    <n v="10.818988780818289"/>
  </r>
  <r>
    <x v="2"/>
    <s v="Friday"/>
    <x v="0"/>
    <n v="93.88"/>
    <n v="96.38"/>
    <n v="83.2"/>
    <n v="105.2"/>
    <n v="-1.18"/>
    <n v="1518.98"/>
    <n v="0.14000000000000001"/>
    <n v="-0.38200339558573793"/>
    <n v="-2.4032684450848382E-2"/>
    <n v="0.33381020505484843"/>
    <n v="-21.300043003176015"/>
  </r>
  <r>
    <x v="3"/>
    <s v="Saturday"/>
    <x v="0"/>
    <n v="109.76"/>
    <n v="112.26"/>
    <n v="83.18"/>
    <n v="105.55"/>
    <n v="-1.51"/>
    <n v="1818.72"/>
    <n v="0.06"/>
    <n v="16.915210907541553"/>
    <n v="-2.4038461538456755E-2"/>
    <n v="0.33269961977185775"/>
    <n v="19.732978709397095"/>
  </r>
  <r>
    <x v="4"/>
    <s v="Sunday"/>
    <x v="1"/>
    <n v="112.52"/>
    <n v="115.02"/>
    <n v="83.16"/>
    <n v="105.9"/>
    <n v="-1.85"/>
    <n v="2442.66"/>
    <n v="-0.02"/>
    <n v="2.5145772594752103"/>
    <n v="-2.4044241404195997E-2"/>
    <n v="0.33159639981052441"/>
    <n v="34.306545262602263"/>
  </r>
  <r>
    <x v="5"/>
    <s v="Monday"/>
    <x v="1"/>
    <n v="110.24"/>
    <n v="112.74"/>
    <n v="83.14"/>
    <n v="106.25"/>
    <n v="-2.19"/>
    <n v="2781.18"/>
    <n v="-9.9999999999999992E-2"/>
    <n v="-2.0263064344116613"/>
    <n v="-2.4050024050019266E-2"/>
    <n v="0.33050047214352624"/>
    <n v="13.858662278008401"/>
  </r>
  <r>
    <x v="6"/>
    <s v="Tuesday"/>
    <x v="1"/>
    <n v="109.42"/>
    <n v="111.92"/>
    <n v="83.12"/>
    <n v="106.6"/>
    <n v="-2.5299999999999998"/>
    <n v="2414.98"/>
    <n v="-0.17999999999999997"/>
    <n v="-0.74383164005804903"/>
    <n v="-2.405580947798415E-2"/>
    <n v="0.32941176470587696"/>
    <n v="-13.167072969027529"/>
  </r>
  <r>
    <x v="7"/>
    <s v="Wednesday"/>
    <x v="2"/>
    <n v="112.4"/>
    <n v="114.9"/>
    <n v="83.1"/>
    <n v="106.95"/>
    <n v="-2.86"/>
    <n v="2303.0500000000002"/>
    <n v="-0.26"/>
    <n v="2.7234509230488064"/>
    <n v="-2.406159769009893E-2"/>
    <n v="0.32833020637899485"/>
    <n v="-4.63482099230634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d v="2026-04-01T00:00:00"/>
    <x v="0"/>
    <n v="3.45"/>
    <s v="USD"/>
    <n v="0"/>
    <x v="0"/>
  </r>
  <r>
    <d v="2026-04-02T00:00:00"/>
    <x v="0"/>
    <n v="3.51"/>
    <s v="USD"/>
    <n v="1"/>
    <x v="0"/>
  </r>
  <r>
    <d v="2026-04-03T00:00:00"/>
    <x v="0"/>
    <n v="3.56"/>
    <s v="USD"/>
    <n v="2"/>
    <x v="0"/>
  </r>
  <r>
    <d v="2026-04-04T00:00:00"/>
    <x v="0"/>
    <n v="3.62"/>
    <s v="USD"/>
    <n v="3"/>
    <x v="0"/>
  </r>
  <r>
    <d v="2026-04-05T00:00:00"/>
    <x v="0"/>
    <n v="3.67"/>
    <s v="USD"/>
    <n v="4"/>
    <x v="1"/>
  </r>
  <r>
    <d v="2026-04-06T00:00:00"/>
    <x v="0"/>
    <n v="3.73"/>
    <s v="USD"/>
    <n v="5"/>
    <x v="1"/>
  </r>
  <r>
    <d v="2026-04-07T00:00:00"/>
    <x v="0"/>
    <n v="3.78"/>
    <s v="USD"/>
    <n v="6"/>
    <x v="1"/>
  </r>
  <r>
    <d v="2026-04-08T00:00:00"/>
    <x v="0"/>
    <n v="3.83"/>
    <s v="USD"/>
    <n v="7"/>
    <x v="2"/>
  </r>
  <r>
    <d v="2026-04-01T00:00:00"/>
    <x v="1"/>
    <n v="96.72"/>
    <s v="INR"/>
    <n v="0"/>
    <x v="0"/>
  </r>
  <r>
    <d v="2026-04-02T00:00:00"/>
    <x v="1"/>
    <n v="98.69"/>
    <s v="INR"/>
    <n v="1"/>
    <x v="0"/>
  </r>
  <r>
    <d v="2026-04-03T00:00:00"/>
    <x v="1"/>
    <n v="100.65"/>
    <s v="INR"/>
    <n v="2"/>
    <x v="0"/>
  </r>
  <r>
    <d v="2026-04-04T00:00:00"/>
    <x v="1"/>
    <n v="102.62"/>
    <s v="INR"/>
    <n v="3"/>
    <x v="0"/>
  </r>
  <r>
    <d v="2026-04-05T00:00:00"/>
    <x v="1"/>
    <n v="104.59"/>
    <s v="INR"/>
    <n v="4"/>
    <x v="1"/>
  </r>
  <r>
    <d v="2026-04-06T00:00:00"/>
    <x v="1"/>
    <n v="106.55"/>
    <s v="INR"/>
    <n v="5"/>
    <x v="1"/>
  </r>
  <r>
    <d v="2026-04-07T00:00:00"/>
    <x v="1"/>
    <n v="108.52"/>
    <s v="INR"/>
    <n v="6"/>
    <x v="1"/>
  </r>
  <r>
    <d v="2026-04-08T00:00:00"/>
    <x v="1"/>
    <n v="110.48"/>
    <s v="INR"/>
    <n v="7"/>
    <x v="2"/>
  </r>
  <r>
    <d v="2026-04-01T00:00:00"/>
    <x v="2"/>
    <n v="5.42"/>
    <s v="USD"/>
    <n v="0"/>
    <x v="0"/>
  </r>
  <r>
    <d v="2026-04-02T00:00:00"/>
    <x v="2"/>
    <n v="5.51"/>
    <s v="USD"/>
    <n v="1"/>
    <x v="0"/>
  </r>
  <r>
    <d v="2026-04-03T00:00:00"/>
    <x v="2"/>
    <n v="5.61"/>
    <s v="USD"/>
    <n v="2"/>
    <x v="0"/>
  </r>
  <r>
    <d v="2026-04-04T00:00:00"/>
    <x v="2"/>
    <n v="5.71"/>
    <s v="USD"/>
    <n v="3"/>
    <x v="0"/>
  </r>
  <r>
    <d v="2026-04-05T00:00:00"/>
    <x v="2"/>
    <n v="5.8"/>
    <s v="USD"/>
    <n v="4"/>
    <x v="1"/>
  </r>
  <r>
    <d v="2026-04-06T00:00:00"/>
    <x v="2"/>
    <n v="5.89"/>
    <s v="USD"/>
    <n v="5"/>
    <x v="1"/>
  </r>
  <r>
    <d v="2026-04-07T00:00:00"/>
    <x v="2"/>
    <n v="5.99"/>
    <s v="USD"/>
    <n v="6"/>
    <x v="1"/>
  </r>
  <r>
    <d v="2026-04-08T00:00:00"/>
    <x v="2"/>
    <n v="6.08"/>
    <s v="USD"/>
    <n v="7"/>
    <x v="2"/>
  </r>
  <r>
    <d v="2026-04-01T00:00:00"/>
    <x v="3"/>
    <n v="5.89"/>
    <s v="USD"/>
    <n v="0"/>
    <x v="0"/>
  </r>
  <r>
    <d v="2026-04-02T00:00:00"/>
    <x v="3"/>
    <n v="5.97"/>
    <s v="USD"/>
    <n v="1"/>
    <x v="0"/>
  </r>
  <r>
    <d v="2026-04-03T00:00:00"/>
    <x v="3"/>
    <n v="6.05"/>
    <s v="USD"/>
    <n v="2"/>
    <x v="0"/>
  </r>
  <r>
    <d v="2026-04-04T00:00:00"/>
    <x v="3"/>
    <n v="6.13"/>
    <s v="USD"/>
    <n v="3"/>
    <x v="0"/>
  </r>
  <r>
    <d v="2026-04-05T00:00:00"/>
    <x v="3"/>
    <n v="6.21"/>
    <s v="USD"/>
    <n v="4"/>
    <x v="1"/>
  </r>
  <r>
    <d v="2026-04-06T00:00:00"/>
    <x v="3"/>
    <n v="6.28"/>
    <s v="USD"/>
    <n v="5"/>
    <x v="1"/>
  </r>
  <r>
    <d v="2026-04-07T00:00:00"/>
    <x v="3"/>
    <n v="6.36"/>
    <s v="USD"/>
    <n v="6"/>
    <x v="1"/>
  </r>
  <r>
    <d v="2026-04-08T00:00:00"/>
    <x v="3"/>
    <n v="6.44"/>
    <s v="USD"/>
    <n v="7"/>
    <x v="2"/>
  </r>
  <r>
    <d v="2026-04-01T00:00:00"/>
    <x v="4"/>
    <n v="5.12"/>
    <s v="USD"/>
    <n v="0"/>
    <x v="0"/>
  </r>
  <r>
    <d v="2026-04-02T00:00:00"/>
    <x v="4"/>
    <n v="5.2"/>
    <s v="USD"/>
    <n v="1"/>
    <x v="0"/>
  </r>
  <r>
    <d v="2026-04-03T00:00:00"/>
    <x v="4"/>
    <n v="5.29"/>
    <s v="USD"/>
    <n v="2"/>
    <x v="0"/>
  </r>
  <r>
    <d v="2026-04-04T00:00:00"/>
    <x v="4"/>
    <n v="5.37"/>
    <s v="USD"/>
    <n v="3"/>
    <x v="0"/>
  </r>
  <r>
    <d v="2026-04-05T00:00:00"/>
    <x v="4"/>
    <n v="5.45"/>
    <s v="USD"/>
    <n v="4"/>
    <x v="1"/>
  </r>
  <r>
    <d v="2026-04-06T00:00:00"/>
    <x v="4"/>
    <n v="5.53"/>
    <s v="USD"/>
    <n v="5"/>
    <x v="1"/>
  </r>
  <r>
    <d v="2026-04-07T00:00:00"/>
    <x v="4"/>
    <n v="5.62"/>
    <s v="USD"/>
    <n v="6"/>
    <x v="1"/>
  </r>
  <r>
    <d v="2026-04-08T00:00:00"/>
    <x v="4"/>
    <n v="5.7"/>
    <s v="USD"/>
    <n v="7"/>
    <x v="2"/>
  </r>
  <r>
    <d v="2026-04-01T00:00:00"/>
    <x v="5"/>
    <n v="5.34"/>
    <s v="USD"/>
    <n v="0"/>
    <x v="0"/>
  </r>
  <r>
    <d v="2026-04-02T00:00:00"/>
    <x v="5"/>
    <n v="5.42"/>
    <s v="USD"/>
    <n v="1"/>
    <x v="0"/>
  </r>
  <r>
    <d v="2026-04-03T00:00:00"/>
    <x v="5"/>
    <n v="5.51"/>
    <s v="USD"/>
    <n v="2"/>
    <x v="0"/>
  </r>
  <r>
    <d v="2026-04-04T00:00:00"/>
    <x v="5"/>
    <n v="5.59"/>
    <s v="USD"/>
    <n v="3"/>
    <x v="0"/>
  </r>
  <r>
    <d v="2026-04-05T00:00:00"/>
    <x v="5"/>
    <n v="5.67"/>
    <s v="USD"/>
    <n v="4"/>
    <x v="1"/>
  </r>
  <r>
    <d v="2026-04-06T00:00:00"/>
    <x v="5"/>
    <n v="5.76"/>
    <s v="USD"/>
    <n v="5"/>
    <x v="1"/>
  </r>
  <r>
    <d v="2026-04-07T00:00:00"/>
    <x v="5"/>
    <n v="5.84"/>
    <s v="USD"/>
    <n v="6"/>
    <x v="1"/>
  </r>
  <r>
    <d v="2026-04-08T00:00:00"/>
    <x v="5"/>
    <n v="5.93"/>
    <s v="USD"/>
    <n v="7"/>
    <x v="2"/>
  </r>
  <r>
    <d v="2026-04-01T00:00:00"/>
    <x v="6"/>
    <n v="4.78"/>
    <s v="USD"/>
    <n v="0"/>
    <x v="0"/>
  </r>
  <r>
    <d v="2026-04-02T00:00:00"/>
    <x v="6"/>
    <n v="4.8499999999999996"/>
    <s v="USD"/>
    <n v="1"/>
    <x v="0"/>
  </r>
  <r>
    <d v="2026-04-03T00:00:00"/>
    <x v="6"/>
    <n v="4.92"/>
    <s v="USD"/>
    <n v="2"/>
    <x v="0"/>
  </r>
  <r>
    <d v="2026-04-04T00:00:00"/>
    <x v="6"/>
    <n v="4.99"/>
    <s v="USD"/>
    <n v="3"/>
    <x v="0"/>
  </r>
  <r>
    <d v="2026-04-05T00:00:00"/>
    <x v="6"/>
    <n v="5.0599999999999996"/>
    <s v="USD"/>
    <n v="4"/>
    <x v="1"/>
  </r>
  <r>
    <d v="2026-04-06T00:00:00"/>
    <x v="6"/>
    <n v="5.13"/>
    <s v="USD"/>
    <n v="5"/>
    <x v="1"/>
  </r>
  <r>
    <d v="2026-04-07T00:00:00"/>
    <x v="6"/>
    <n v="5.2"/>
    <s v="USD"/>
    <n v="6"/>
    <x v="1"/>
  </r>
  <r>
    <d v="2026-04-08T00:00:00"/>
    <x v="6"/>
    <n v="5.27"/>
    <s v="USD"/>
    <n v="7"/>
    <x v="2"/>
  </r>
  <r>
    <d v="2026-04-01T00:00:00"/>
    <x v="7"/>
    <n v="3.12"/>
    <s v="USD"/>
    <n v="0"/>
    <x v="0"/>
  </r>
  <r>
    <d v="2026-04-02T00:00:00"/>
    <x v="7"/>
    <n v="3.18"/>
    <s v="USD"/>
    <n v="1"/>
    <x v="0"/>
  </r>
  <r>
    <d v="2026-04-03T00:00:00"/>
    <x v="7"/>
    <n v="3.23"/>
    <s v="USD"/>
    <n v="2"/>
    <x v="0"/>
  </r>
  <r>
    <d v="2026-04-04T00:00:00"/>
    <x v="7"/>
    <n v="3.29"/>
    <s v="USD"/>
    <n v="3"/>
    <x v="0"/>
  </r>
  <r>
    <d v="2026-04-05T00:00:00"/>
    <x v="7"/>
    <n v="3.34"/>
    <s v="USD"/>
    <n v="4"/>
    <x v="1"/>
  </r>
  <r>
    <d v="2026-04-06T00:00:00"/>
    <x v="7"/>
    <n v="3.4"/>
    <s v="USD"/>
    <n v="5"/>
    <x v="1"/>
  </r>
  <r>
    <d v="2026-04-07T00:00:00"/>
    <x v="7"/>
    <n v="3.45"/>
    <s v="USD"/>
    <n v="6"/>
    <x v="1"/>
  </r>
  <r>
    <d v="2026-04-08T00:00:00"/>
    <x v="7"/>
    <n v="3.5"/>
    <s v="USD"/>
    <n v="7"/>
    <x v="2"/>
  </r>
  <r>
    <d v="2026-04-01T00:00:00"/>
    <x v="8"/>
    <n v="4.95"/>
    <s v="USD"/>
    <n v="0"/>
    <x v="0"/>
  </r>
  <r>
    <d v="2026-04-02T00:00:00"/>
    <x v="8"/>
    <n v="5.03"/>
    <s v="USD"/>
    <n v="1"/>
    <x v="0"/>
  </r>
  <r>
    <d v="2026-04-03T00:00:00"/>
    <x v="8"/>
    <n v="5.12"/>
    <s v="USD"/>
    <n v="2"/>
    <x v="0"/>
  </r>
  <r>
    <d v="2026-04-04T00:00:00"/>
    <x v="8"/>
    <n v="5.2"/>
    <s v="USD"/>
    <n v="3"/>
    <x v="0"/>
  </r>
  <r>
    <d v="2026-04-05T00:00:00"/>
    <x v="8"/>
    <n v="5.29"/>
    <s v="USD"/>
    <n v="4"/>
    <x v="1"/>
  </r>
  <r>
    <d v="2026-04-06T00:00:00"/>
    <x v="8"/>
    <n v="5.37"/>
    <s v="USD"/>
    <n v="5"/>
    <x v="1"/>
  </r>
  <r>
    <d v="2026-04-07T00:00:00"/>
    <x v="8"/>
    <n v="5.45"/>
    <s v="USD"/>
    <n v="6"/>
    <x v="1"/>
  </r>
  <r>
    <d v="2026-04-08T00:00:00"/>
    <x v="8"/>
    <n v="5.54"/>
    <s v="USD"/>
    <n v="7"/>
    <x v="2"/>
  </r>
  <r>
    <d v="2026-04-01T00:00:00"/>
    <x v="9"/>
    <n v="1.85"/>
    <s v="USD"/>
    <n v="0"/>
    <x v="0"/>
  </r>
  <r>
    <d v="2026-04-02T00:00:00"/>
    <x v="9"/>
    <n v="1.86"/>
    <s v="USD"/>
    <n v="1"/>
    <x v="0"/>
  </r>
  <r>
    <d v="2026-04-03T00:00:00"/>
    <x v="9"/>
    <n v="1.87"/>
    <s v="USD"/>
    <n v="2"/>
    <x v="0"/>
  </r>
  <r>
    <d v="2026-04-04T00:00:00"/>
    <x v="9"/>
    <n v="1.88"/>
    <s v="USD"/>
    <n v="3"/>
    <x v="0"/>
  </r>
  <r>
    <d v="2026-04-05T00:00:00"/>
    <x v="9"/>
    <n v="1.89"/>
    <s v="USD"/>
    <n v="4"/>
    <x v="1"/>
  </r>
  <r>
    <d v="2026-04-06T00:00:00"/>
    <x v="9"/>
    <n v="1.89"/>
    <s v="USD"/>
    <n v="5"/>
    <x v="1"/>
  </r>
  <r>
    <d v="2026-04-07T00:00:00"/>
    <x v="9"/>
    <n v="1.9"/>
    <s v="USD"/>
    <n v="6"/>
    <x v="1"/>
  </r>
  <r>
    <d v="2026-04-08T00:00:00"/>
    <x v="9"/>
    <n v="1.91"/>
    <s v="USD"/>
    <n v="7"/>
    <x v="2"/>
  </r>
  <r>
    <d v="2026-04-01T00:00:00"/>
    <x v="10"/>
    <n v="1.78"/>
    <s v="USD"/>
    <n v="0"/>
    <x v="0"/>
  </r>
  <r>
    <d v="2026-04-02T00:00:00"/>
    <x v="10"/>
    <n v="1.79"/>
    <s v="USD"/>
    <n v="1"/>
    <x v="0"/>
  </r>
  <r>
    <d v="2026-04-03T00:00:00"/>
    <x v="10"/>
    <n v="1.81"/>
    <s v="USD"/>
    <n v="2"/>
    <x v="0"/>
  </r>
  <r>
    <d v="2026-04-04T00:00:00"/>
    <x v="10"/>
    <n v="1.82"/>
    <s v="USD"/>
    <n v="3"/>
    <x v="0"/>
  </r>
  <r>
    <d v="2026-04-05T00:00:00"/>
    <x v="10"/>
    <n v="1.83"/>
    <s v="USD"/>
    <n v="4"/>
    <x v="1"/>
  </r>
  <r>
    <d v="2026-04-06T00:00:00"/>
    <x v="10"/>
    <n v="1.85"/>
    <s v="USD"/>
    <n v="5"/>
    <x v="1"/>
  </r>
  <r>
    <d v="2026-04-07T00:00:00"/>
    <x v="10"/>
    <n v="1.86"/>
    <s v="USD"/>
    <n v="6"/>
    <x v="1"/>
  </r>
  <r>
    <d v="2026-04-08T00:00:00"/>
    <x v="10"/>
    <n v="1.88"/>
    <s v="USD"/>
    <n v="7"/>
    <x v="2"/>
  </r>
  <r>
    <d v="2026-04-01T00:00:00"/>
    <x v="11"/>
    <n v="82.34"/>
    <s v="PKR"/>
    <n v="0"/>
    <x v="0"/>
  </r>
  <r>
    <d v="2026-04-02T00:00:00"/>
    <x v="11"/>
    <n v="87.18"/>
    <s v="PKR"/>
    <n v="1"/>
    <x v="0"/>
  </r>
  <r>
    <d v="2026-04-03T00:00:00"/>
    <x v="11"/>
    <n v="92.01"/>
    <s v="PKR"/>
    <n v="2"/>
    <x v="0"/>
  </r>
  <r>
    <d v="2026-04-04T00:00:00"/>
    <x v="11"/>
    <n v="96.85"/>
    <s v="PKR"/>
    <n v="3"/>
    <x v="0"/>
  </r>
  <r>
    <d v="2026-04-05T00:00:00"/>
    <x v="11"/>
    <n v="101.69"/>
    <s v="PKR"/>
    <n v="4"/>
    <x v="1"/>
  </r>
  <r>
    <d v="2026-04-06T00:00:00"/>
    <x v="11"/>
    <n v="106.52"/>
    <s v="PKR"/>
    <n v="5"/>
    <x v="1"/>
  </r>
  <r>
    <d v="2026-04-07T00:00:00"/>
    <x v="11"/>
    <n v="111.36"/>
    <s v="PKR"/>
    <n v="6"/>
    <x v="1"/>
  </r>
  <r>
    <d v="2026-04-08T00:00:00"/>
    <x v="11"/>
    <n v="116.19"/>
    <s v="PKR"/>
    <n v="7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XOM (Exxon)"/>
    <n v="135.94999999999999"/>
    <n v="134.32"/>
    <n v="-1.2"/>
    <n v="54032796"/>
    <x v="0"/>
  </r>
  <r>
    <x v="1"/>
    <s v="XOM (Exxon)"/>
    <n v="135.94999999999999"/>
    <n v="135.96"/>
    <n v="0.01"/>
    <n v="52291801"/>
    <x v="0"/>
  </r>
  <r>
    <x v="2"/>
    <s v="XOM (Exxon)"/>
    <n v="135.94999999999999"/>
    <n v="137.61000000000001"/>
    <n v="1.22"/>
    <n v="24776548"/>
    <x v="0"/>
  </r>
  <r>
    <x v="3"/>
    <s v="XOM (Exxon)"/>
    <n v="135.94999999999999"/>
    <n v="139.26"/>
    <n v="2.44"/>
    <n v="54428583"/>
    <x v="0"/>
  </r>
  <r>
    <x v="4"/>
    <s v="XOM (Exxon)"/>
    <n v="135.94999999999999"/>
    <n v="140.91"/>
    <n v="3.65"/>
    <n v="38842774"/>
    <x v="0"/>
  </r>
  <r>
    <x v="5"/>
    <s v="XOM (Exxon)"/>
    <n v="135.94999999999999"/>
    <n v="142.56"/>
    <n v="4.8600000000000003"/>
    <n v="59408157"/>
    <x v="0"/>
  </r>
  <r>
    <x v="6"/>
    <s v="XOM (Exxon)"/>
    <n v="135.94999999999999"/>
    <n v="144.21"/>
    <n v="6.07"/>
    <n v="31630822"/>
    <x v="0"/>
  </r>
  <r>
    <x v="7"/>
    <s v="XOM (Exxon)"/>
    <n v="135.94999999999999"/>
    <n v="145.85"/>
    <n v="7.29"/>
    <n v="34548806"/>
    <x v="0"/>
  </r>
  <r>
    <x v="0"/>
    <s v="CVX (Chevron)"/>
    <n v="106.55"/>
    <n v="105.69"/>
    <n v="-0.8"/>
    <n v="61396893"/>
    <x v="0"/>
  </r>
  <r>
    <x v="1"/>
    <s v="CVX (Chevron)"/>
    <n v="106.55"/>
    <n v="106.76"/>
    <n v="0.2"/>
    <n v="45173550"/>
    <x v="0"/>
  </r>
  <r>
    <x v="2"/>
    <s v="CVX (Chevron)"/>
    <n v="106.55"/>
    <n v="107.82"/>
    <n v="1.2"/>
    <n v="60065958"/>
    <x v="0"/>
  </r>
  <r>
    <x v="3"/>
    <s v="CVX (Chevron)"/>
    <n v="106.55"/>
    <n v="108.89"/>
    <n v="2.2000000000000002"/>
    <n v="47203062"/>
    <x v="0"/>
  </r>
  <r>
    <x v="4"/>
    <s v="CVX (Chevron)"/>
    <n v="106.55"/>
    <n v="109.95"/>
    <n v="3.2"/>
    <n v="79712642"/>
    <x v="0"/>
  </r>
  <r>
    <x v="5"/>
    <s v="CVX (Chevron)"/>
    <n v="106.55"/>
    <n v="111.02"/>
    <n v="4.2"/>
    <n v="60904301"/>
    <x v="0"/>
  </r>
  <r>
    <x v="6"/>
    <s v="CVX (Chevron)"/>
    <n v="106.55"/>
    <n v="112.09"/>
    <n v="5.2"/>
    <n v="30928150"/>
    <x v="0"/>
  </r>
  <r>
    <x v="7"/>
    <s v="CVX (Chevron)"/>
    <n v="106.55"/>
    <n v="113.15"/>
    <n v="6.2"/>
    <n v="21094822"/>
    <x v="0"/>
  </r>
  <r>
    <x v="0"/>
    <s v="RDSA (Shell)"/>
    <n v="117.59"/>
    <n v="115.83"/>
    <n v="-1.5"/>
    <n v="51660383"/>
    <x v="0"/>
  </r>
  <r>
    <x v="1"/>
    <s v="RDSA (Shell)"/>
    <n v="117.59"/>
    <n v="117.39"/>
    <n v="-0.18"/>
    <n v="42579473"/>
    <x v="0"/>
  </r>
  <r>
    <x v="2"/>
    <s v="RDSA (Shell)"/>
    <n v="117.59"/>
    <n v="118.94"/>
    <n v="1.1499999999999999"/>
    <n v="37946523"/>
    <x v="0"/>
  </r>
  <r>
    <x v="3"/>
    <s v="RDSA (Shell)"/>
    <n v="117.59"/>
    <n v="120.5"/>
    <n v="2.4700000000000002"/>
    <n v="59556183"/>
    <x v="0"/>
  </r>
  <r>
    <x v="4"/>
    <s v="RDSA (Shell)"/>
    <n v="117.59"/>
    <n v="122.06"/>
    <n v="3.8"/>
    <n v="50866216"/>
    <x v="0"/>
  </r>
  <r>
    <x v="5"/>
    <s v="RDSA (Shell)"/>
    <n v="117.59"/>
    <n v="123.62"/>
    <n v="5.12"/>
    <n v="57336584"/>
    <x v="0"/>
  </r>
  <r>
    <x v="6"/>
    <s v="RDSA (Shell)"/>
    <n v="117.59"/>
    <n v="125.18"/>
    <n v="6.45"/>
    <n v="37463920"/>
    <x v="0"/>
  </r>
  <r>
    <x v="7"/>
    <s v="RDSA (Shell)"/>
    <n v="117.59"/>
    <n v="126.73"/>
    <n v="7.78"/>
    <n v="47707873"/>
    <x v="0"/>
  </r>
  <r>
    <x v="0"/>
    <s v="MPC (Marathon)"/>
    <n v="80.31"/>
    <n v="80.709999999999994"/>
    <n v="0.5"/>
    <n v="45211535"/>
    <x v="0"/>
  </r>
  <r>
    <x v="1"/>
    <s v="MPC (Marathon)"/>
    <n v="80.31"/>
    <n v="81.349999999999994"/>
    <n v="1.29"/>
    <n v="60346378"/>
    <x v="0"/>
  </r>
  <r>
    <x v="2"/>
    <s v="MPC (Marathon)"/>
    <n v="80.31"/>
    <n v="81.98"/>
    <n v="2.08"/>
    <n v="62306261"/>
    <x v="0"/>
  </r>
  <r>
    <x v="3"/>
    <s v="MPC (Marathon)"/>
    <n v="80.31"/>
    <n v="82.61"/>
    <n v="2.86"/>
    <n v="68236341"/>
    <x v="0"/>
  </r>
  <r>
    <x v="4"/>
    <s v="MPC (Marathon)"/>
    <n v="80.31"/>
    <n v="83.24"/>
    <n v="3.65"/>
    <n v="60745995"/>
    <x v="0"/>
  </r>
  <r>
    <x v="5"/>
    <s v="MPC (Marathon)"/>
    <n v="80.31"/>
    <n v="83.88"/>
    <n v="4.4400000000000004"/>
    <n v="64950744"/>
    <x v="0"/>
  </r>
  <r>
    <x v="6"/>
    <s v="MPC (Marathon)"/>
    <n v="80.31"/>
    <n v="84.51"/>
    <n v="5.22"/>
    <n v="68252507"/>
    <x v="0"/>
  </r>
  <r>
    <x v="7"/>
    <s v="MPC (Marathon)"/>
    <n v="80.31"/>
    <n v="85.14"/>
    <n v="6.01"/>
    <n v="52596463"/>
    <x v="0"/>
  </r>
  <r>
    <x v="0"/>
    <s v="SPLG (S&amp;P 500)"/>
    <n v="76.38"/>
    <n v="76"/>
    <n v="-0.5"/>
    <n v="72805133"/>
    <x v="1"/>
  </r>
  <r>
    <x v="1"/>
    <s v="SPLG (S&amp;P 500)"/>
    <n v="76.38"/>
    <n v="75.739999999999995"/>
    <n v="-0.84"/>
    <n v="55014617"/>
    <x v="1"/>
  </r>
  <r>
    <x v="2"/>
    <s v="SPLG (S&amp;P 500)"/>
    <n v="76.38"/>
    <n v="75.48"/>
    <n v="-1.18"/>
    <n v="65833610"/>
    <x v="1"/>
  </r>
  <r>
    <x v="3"/>
    <s v="SPLG (S&amp;P 500)"/>
    <n v="76.38"/>
    <n v="75.23"/>
    <n v="-1.51"/>
    <n v="43052225"/>
    <x v="1"/>
  </r>
  <r>
    <x v="4"/>
    <s v="SPLG (S&amp;P 500)"/>
    <n v="76.38"/>
    <n v="74.97"/>
    <n v="-1.85"/>
    <n v="58413787"/>
    <x v="1"/>
  </r>
  <r>
    <x v="5"/>
    <s v="SPLG (S&amp;P 500)"/>
    <n v="76.38"/>
    <n v="74.709999999999994"/>
    <n v="-2.19"/>
    <n v="55962622"/>
    <x v="1"/>
  </r>
  <r>
    <x v="6"/>
    <s v="SPLG (S&amp;P 500)"/>
    <n v="76.38"/>
    <n v="74.45"/>
    <n v="-2.5299999999999998"/>
    <n v="47447702"/>
    <x v="1"/>
  </r>
  <r>
    <x v="7"/>
    <s v="SPLG (S&amp;P 500)"/>
    <n v="76.38"/>
    <n v="74.19"/>
    <n v="-2.86"/>
    <n v="51376028"/>
    <x v="1"/>
  </r>
  <r>
    <x v="0"/>
    <s v="VTI (Total Market)"/>
    <n v="95.71"/>
    <n v="95.42"/>
    <n v="-0.3"/>
    <n v="29509688"/>
    <x v="1"/>
  </r>
  <r>
    <x v="1"/>
    <s v="VTI (Total Market)"/>
    <n v="95.71"/>
    <n v="95.12"/>
    <n v="-0.61"/>
    <n v="32077424"/>
    <x v="1"/>
  </r>
  <r>
    <x v="2"/>
    <s v="VTI (Total Market)"/>
    <n v="95.71"/>
    <n v="94.83"/>
    <n v="-0.93"/>
    <n v="68321064"/>
    <x v="1"/>
  </r>
  <r>
    <x v="3"/>
    <s v="VTI (Total Market)"/>
    <n v="95.71"/>
    <n v="94.53"/>
    <n v="-1.24"/>
    <n v="66826786"/>
    <x v="1"/>
  </r>
  <r>
    <x v="4"/>
    <s v="VTI (Total Market)"/>
    <n v="95.71"/>
    <n v="94.23"/>
    <n v="-1.55"/>
    <n v="61268649"/>
    <x v="1"/>
  </r>
  <r>
    <x v="5"/>
    <s v="VTI (Total Market)"/>
    <n v="95.71"/>
    <n v="93.93"/>
    <n v="-1.86"/>
    <n v="41897835"/>
    <x v="1"/>
  </r>
  <r>
    <x v="6"/>
    <s v="VTI (Total Market)"/>
    <n v="95.71"/>
    <n v="93.63"/>
    <n v="-2.17"/>
    <n v="62601990"/>
    <x v="1"/>
  </r>
  <r>
    <x v="7"/>
    <s v="VTI (Total Market)"/>
    <n v="95.71"/>
    <n v="93.33"/>
    <n v="-2.4900000000000002"/>
    <n v="5083154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6-04-01T00:00:00"/>
    <x v="0"/>
    <n v="15"/>
    <n v="1741.66"/>
    <n v="95"/>
    <n v="0"/>
    <n v="0"/>
  </r>
  <r>
    <d v="2026-04-01T00:00:00"/>
    <x v="1"/>
    <n v="12"/>
    <n v="1745.48"/>
    <n v="95"/>
    <n v="0"/>
    <n v="0"/>
  </r>
  <r>
    <d v="2026-04-01T00:00:00"/>
    <x v="2"/>
    <n v="8"/>
    <n v="1674.66"/>
    <n v="95"/>
    <n v="0"/>
    <n v="0"/>
  </r>
  <r>
    <d v="2026-04-01T00:00:00"/>
    <x v="3"/>
    <n v="10"/>
    <n v="1270.1199999999999"/>
    <n v="95"/>
    <n v="0"/>
    <n v="0"/>
  </r>
  <r>
    <d v="2026-04-02T00:00:00"/>
    <x v="0"/>
    <n v="14.2"/>
    <n v="1930.09"/>
    <n v="70"/>
    <n v="0.5"/>
    <n v="8"/>
  </r>
  <r>
    <d v="2026-04-02T00:00:00"/>
    <x v="1"/>
    <n v="11.8"/>
    <n v="2079.1999999999998"/>
    <n v="85"/>
    <n v="0.5"/>
    <n v="8"/>
  </r>
  <r>
    <d v="2026-04-02T00:00:00"/>
    <x v="2"/>
    <n v="7.9"/>
    <n v="2303.7199999999998"/>
    <n v="90"/>
    <n v="0.5"/>
    <n v="8"/>
  </r>
  <r>
    <d v="2026-04-02T00:00:00"/>
    <x v="3"/>
    <n v="9.6999999999999993"/>
    <n v="1995.61"/>
    <n v="80"/>
    <n v="0.5"/>
    <n v="8"/>
  </r>
  <r>
    <d v="2026-04-03T00:00:00"/>
    <x v="0"/>
    <n v="13.5"/>
    <n v="1518.98"/>
    <n v="50"/>
    <n v="1"/>
    <n v="16"/>
  </r>
  <r>
    <d v="2026-04-03T00:00:00"/>
    <x v="1"/>
    <n v="11.5"/>
    <n v="2001.36"/>
    <n v="75"/>
    <n v="1"/>
    <n v="16"/>
  </r>
  <r>
    <d v="2026-04-03T00:00:00"/>
    <x v="2"/>
    <n v="7.8"/>
    <n v="2260.66"/>
    <n v="85"/>
    <n v="1"/>
    <n v="16"/>
  </r>
  <r>
    <d v="2026-04-03T00:00:00"/>
    <x v="3"/>
    <n v="9.4"/>
    <n v="2235.34"/>
    <n v="65"/>
    <n v="1"/>
    <n v="16"/>
  </r>
  <r>
    <d v="2026-04-04T00:00:00"/>
    <x v="0"/>
    <n v="12.8"/>
    <n v="1818.72"/>
    <n v="50"/>
    <n v="1.5"/>
    <n v="24"/>
  </r>
  <r>
    <d v="2026-04-04T00:00:00"/>
    <x v="1"/>
    <n v="11.3"/>
    <n v="2260.81"/>
    <n v="65"/>
    <n v="1.5"/>
    <n v="24"/>
  </r>
  <r>
    <d v="2026-04-04T00:00:00"/>
    <x v="2"/>
    <n v="7.8"/>
    <n v="1982.43"/>
    <n v="80"/>
    <n v="1.5"/>
    <n v="24"/>
  </r>
  <r>
    <d v="2026-04-04T00:00:00"/>
    <x v="3"/>
    <n v="9.1"/>
    <n v="1812.51"/>
    <n v="50"/>
    <n v="1.5"/>
    <n v="24"/>
  </r>
  <r>
    <d v="2026-04-05T00:00:00"/>
    <x v="0"/>
    <n v="12"/>
    <n v="2442.66"/>
    <n v="50"/>
    <n v="2"/>
    <n v="32"/>
  </r>
  <r>
    <d v="2026-04-05T00:00:00"/>
    <x v="1"/>
    <n v="11"/>
    <n v="2664.5"/>
    <n v="55"/>
    <n v="2"/>
    <n v="32"/>
  </r>
  <r>
    <d v="2026-04-05T00:00:00"/>
    <x v="2"/>
    <n v="7.7"/>
    <n v="2298.6"/>
    <n v="75"/>
    <n v="2"/>
    <n v="32"/>
  </r>
  <r>
    <d v="2026-04-05T00:00:00"/>
    <x v="3"/>
    <n v="8.8000000000000007"/>
    <n v="2537.25"/>
    <n v="50"/>
    <n v="2"/>
    <n v="32"/>
  </r>
  <r>
    <d v="2026-04-06T00:00:00"/>
    <x v="0"/>
    <n v="11.2"/>
    <n v="2781.18"/>
    <n v="50"/>
    <n v="2.5"/>
    <n v="40"/>
  </r>
  <r>
    <d v="2026-04-06T00:00:00"/>
    <x v="1"/>
    <n v="10.8"/>
    <n v="2212.04"/>
    <n v="50"/>
    <n v="2.5"/>
    <n v="40"/>
  </r>
  <r>
    <d v="2026-04-06T00:00:00"/>
    <x v="2"/>
    <n v="7.6"/>
    <n v="2770.66"/>
    <n v="70"/>
    <n v="2.5"/>
    <n v="40"/>
  </r>
  <r>
    <d v="2026-04-06T00:00:00"/>
    <x v="3"/>
    <n v="8.5"/>
    <n v="2298.8200000000002"/>
    <n v="50"/>
    <n v="2.5"/>
    <n v="40"/>
  </r>
  <r>
    <d v="2026-04-07T00:00:00"/>
    <x v="0"/>
    <n v="10.5"/>
    <n v="2414.98"/>
    <n v="50"/>
    <n v="3"/>
    <n v="48"/>
  </r>
  <r>
    <d v="2026-04-07T00:00:00"/>
    <x v="1"/>
    <n v="10.6"/>
    <n v="2116.46"/>
    <n v="50"/>
    <n v="3"/>
    <n v="48"/>
  </r>
  <r>
    <d v="2026-04-07T00:00:00"/>
    <x v="2"/>
    <n v="7.5"/>
    <n v="2259.8000000000002"/>
    <n v="65"/>
    <n v="3"/>
    <n v="48"/>
  </r>
  <r>
    <d v="2026-04-07T00:00:00"/>
    <x v="3"/>
    <n v="8.1999999999999993"/>
    <n v="2307.96"/>
    <n v="50"/>
    <n v="3"/>
    <n v="48"/>
  </r>
  <r>
    <d v="2026-04-08T00:00:00"/>
    <x v="0"/>
    <n v="9.8000000000000007"/>
    <n v="2303.0500000000002"/>
    <n v="50"/>
    <n v="3.5"/>
    <n v="56"/>
  </r>
  <r>
    <d v="2026-04-08T00:00:00"/>
    <x v="1"/>
    <n v="10.3"/>
    <n v="3243.43"/>
    <n v="50"/>
    <n v="3.5"/>
    <n v="56"/>
  </r>
  <r>
    <d v="2026-04-08T00:00:00"/>
    <x v="2"/>
    <n v="7.4"/>
    <n v="3228.52"/>
    <n v="60"/>
    <n v="3.5"/>
    <n v="56"/>
  </r>
  <r>
    <d v="2026-04-08T00:00:00"/>
    <x v="3"/>
    <n v="7.9"/>
    <n v="2737.45"/>
    <n v="50"/>
    <n v="3.5"/>
    <n v="5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s v="Reuters"/>
    <n v="48"/>
    <n v="0.3"/>
    <s v="Neutral"/>
    <n v="51"/>
    <n v="47281"/>
  </r>
  <r>
    <x v="0"/>
    <s v="Bloomberg"/>
    <n v="46"/>
    <n v="0.3"/>
    <s v="Neutral"/>
    <n v="66"/>
    <n v="14191"/>
  </r>
  <r>
    <x v="0"/>
    <s v="AP News"/>
    <n v="39"/>
    <n v="0.3"/>
    <s v="Neutral"/>
    <n v="47"/>
    <n v="28284"/>
  </r>
  <r>
    <x v="0"/>
    <s v="BBC"/>
    <n v="57"/>
    <n v="0.3"/>
    <s v="Neutral"/>
    <n v="70"/>
    <n v="23101"/>
  </r>
  <r>
    <x v="0"/>
    <s v="CNBC"/>
    <n v="35"/>
    <n v="0.3"/>
    <s v="Neutral"/>
    <n v="70"/>
    <n v="28756"/>
  </r>
  <r>
    <x v="0"/>
    <s v="Al Jazeera"/>
    <n v="63"/>
    <n v="0.3"/>
    <s v="Neutral"/>
    <n v="116"/>
    <n v="47454"/>
  </r>
  <r>
    <x v="0"/>
    <s v="NPR"/>
    <n v="46"/>
    <n v="0.3"/>
    <s v="Neutral"/>
    <n v="110"/>
    <n v="49071"/>
  </r>
  <r>
    <x v="1"/>
    <s v="Reuters"/>
    <n v="94"/>
    <n v="0.22"/>
    <s v="Neutral"/>
    <n v="58"/>
    <n v="15449"/>
  </r>
  <r>
    <x v="1"/>
    <s v="Bloomberg"/>
    <n v="79"/>
    <n v="0.22"/>
    <s v="Neutral"/>
    <n v="48"/>
    <n v="26159"/>
  </r>
  <r>
    <x v="1"/>
    <s v="AP News"/>
    <n v="94"/>
    <n v="0.22"/>
    <s v="Neutral"/>
    <n v="47"/>
    <n v="17181"/>
  </r>
  <r>
    <x v="1"/>
    <s v="BBC"/>
    <n v="102"/>
    <n v="0.22"/>
    <s v="Neutral"/>
    <n v="103"/>
    <n v="9915"/>
  </r>
  <r>
    <x v="1"/>
    <s v="CNBC"/>
    <n v="92"/>
    <n v="0.22"/>
    <s v="Neutral"/>
    <n v="73"/>
    <n v="42678"/>
  </r>
  <r>
    <x v="1"/>
    <s v="Al Jazeera"/>
    <n v="100"/>
    <n v="0.22"/>
    <s v="Neutral"/>
    <n v="73"/>
    <n v="37411"/>
  </r>
  <r>
    <x v="1"/>
    <s v="NPR"/>
    <n v="105"/>
    <n v="0.22"/>
    <s v="Neutral"/>
    <n v="65"/>
    <n v="12517"/>
  </r>
  <r>
    <x v="2"/>
    <s v="Reuters"/>
    <n v="112"/>
    <n v="0.14000000000000001"/>
    <s v="Neutral"/>
    <n v="82"/>
    <n v="46291"/>
  </r>
  <r>
    <x v="2"/>
    <s v="Bloomberg"/>
    <n v="138"/>
    <n v="0.14000000000000001"/>
    <s v="Neutral"/>
    <n v="98"/>
    <n v="46901"/>
  </r>
  <r>
    <x v="2"/>
    <s v="AP News"/>
    <n v="162"/>
    <n v="0.14000000000000001"/>
    <s v="Neutral"/>
    <n v="78"/>
    <n v="31780"/>
  </r>
  <r>
    <x v="2"/>
    <s v="BBC"/>
    <n v="147"/>
    <n v="0.14000000000000001"/>
    <s v="Neutral"/>
    <n v="79"/>
    <n v="22326"/>
  </r>
  <r>
    <x v="2"/>
    <s v="CNBC"/>
    <n v="113"/>
    <n v="0.14000000000000001"/>
    <s v="Neutral"/>
    <n v="83"/>
    <n v="16778"/>
  </r>
  <r>
    <x v="2"/>
    <s v="Al Jazeera"/>
    <n v="149"/>
    <n v="0.14000000000000001"/>
    <s v="Neutral"/>
    <n v="69"/>
    <n v="34748"/>
  </r>
  <r>
    <x v="2"/>
    <s v="NPR"/>
    <n v="93"/>
    <n v="0.14000000000000001"/>
    <s v="Neutral"/>
    <n v="71"/>
    <n v="36540"/>
  </r>
  <r>
    <x v="3"/>
    <s v="Reuters"/>
    <n v="198"/>
    <n v="0.06"/>
    <s v="Negative"/>
    <n v="63"/>
    <n v="35436"/>
  </r>
  <r>
    <x v="3"/>
    <s v="Bloomberg"/>
    <n v="173"/>
    <n v="0.06"/>
    <s v="Negative"/>
    <n v="65"/>
    <n v="12937"/>
  </r>
  <r>
    <x v="3"/>
    <s v="AP News"/>
    <n v="219"/>
    <n v="0.06"/>
    <s v="Negative"/>
    <n v="77"/>
    <n v="44977"/>
  </r>
  <r>
    <x v="3"/>
    <s v="BBC"/>
    <n v="153"/>
    <n v="0.06"/>
    <s v="Negative"/>
    <n v="73"/>
    <n v="30906"/>
  </r>
  <r>
    <x v="3"/>
    <s v="CNBC"/>
    <n v="166"/>
    <n v="0.06"/>
    <s v="Negative"/>
    <n v="66"/>
    <n v="47298"/>
  </r>
  <r>
    <x v="3"/>
    <s v="Al Jazeera"/>
    <n v="144"/>
    <n v="0.06"/>
    <s v="Negative"/>
    <n v="47"/>
    <n v="41744"/>
  </r>
  <r>
    <x v="3"/>
    <s v="NPR"/>
    <n v="203"/>
    <n v="0.06"/>
    <s v="Negative"/>
    <n v="62"/>
    <n v="43764"/>
  </r>
  <r>
    <x v="4"/>
    <s v="Reuters"/>
    <n v="219"/>
    <n v="-0.02"/>
    <s v="Negative"/>
    <n v="106"/>
    <n v="29933"/>
  </r>
  <r>
    <x v="4"/>
    <s v="Bloomberg"/>
    <n v="213"/>
    <n v="-0.02"/>
    <s v="Negative"/>
    <n v="73"/>
    <n v="24810"/>
  </r>
  <r>
    <x v="4"/>
    <s v="AP News"/>
    <n v="272"/>
    <n v="-0.02"/>
    <s v="Negative"/>
    <n v="78"/>
    <n v="20665"/>
  </r>
  <r>
    <x v="4"/>
    <s v="BBC"/>
    <n v="218"/>
    <n v="-0.02"/>
    <s v="Negative"/>
    <n v="63"/>
    <n v="31851"/>
  </r>
  <r>
    <x v="4"/>
    <s v="CNBC"/>
    <n v="238"/>
    <n v="-0.02"/>
    <s v="Negative"/>
    <n v="109"/>
    <n v="12929"/>
  </r>
  <r>
    <x v="4"/>
    <s v="Al Jazeera"/>
    <n v="156"/>
    <n v="-0.02"/>
    <s v="Negative"/>
    <n v="70"/>
    <n v="45041"/>
  </r>
  <r>
    <x v="4"/>
    <s v="NPR"/>
    <n v="226"/>
    <n v="-0.02"/>
    <s v="Negative"/>
    <n v="115"/>
    <n v="11501"/>
  </r>
  <r>
    <x v="5"/>
    <s v="Reuters"/>
    <n v="261"/>
    <n v="-0.1"/>
    <s v="Negative"/>
    <n v="62"/>
    <n v="46092"/>
  </r>
  <r>
    <x v="5"/>
    <s v="Bloomberg"/>
    <n v="260"/>
    <n v="-0.1"/>
    <s v="Negative"/>
    <n v="105"/>
    <n v="30725"/>
  </r>
  <r>
    <x v="5"/>
    <s v="AP News"/>
    <n v="176"/>
    <n v="-0.1"/>
    <s v="Negative"/>
    <n v="49"/>
    <n v="5940"/>
  </r>
  <r>
    <x v="5"/>
    <s v="BBC"/>
    <n v="279"/>
    <n v="-0.1"/>
    <s v="Negative"/>
    <n v="60"/>
    <n v="32485"/>
  </r>
  <r>
    <x v="5"/>
    <s v="CNBC"/>
    <n v="183"/>
    <n v="-0.1"/>
    <s v="Negative"/>
    <n v="55"/>
    <n v="34909"/>
  </r>
  <r>
    <x v="5"/>
    <s v="Al Jazeera"/>
    <n v="304"/>
    <n v="-0.1"/>
    <s v="Negative"/>
    <n v="107"/>
    <n v="8488"/>
  </r>
  <r>
    <x v="5"/>
    <s v="NPR"/>
    <n v="233"/>
    <n v="-0.1"/>
    <s v="Negative"/>
    <n v="79"/>
    <n v="39293"/>
  </r>
  <r>
    <x v="6"/>
    <s v="Reuters"/>
    <n v="203"/>
    <n v="-0.18"/>
    <s v="Negative"/>
    <n v="114"/>
    <n v="20957"/>
  </r>
  <r>
    <x v="6"/>
    <s v="Bloomberg"/>
    <n v="264"/>
    <n v="-0.18"/>
    <s v="Negative"/>
    <n v="53"/>
    <n v="23428"/>
  </r>
  <r>
    <x v="6"/>
    <s v="AP News"/>
    <n v="371"/>
    <n v="-0.18"/>
    <s v="Negative"/>
    <n v="73"/>
    <n v="42033"/>
  </r>
  <r>
    <x v="6"/>
    <s v="BBC"/>
    <n v="229"/>
    <n v="-0.18"/>
    <s v="Negative"/>
    <n v="49"/>
    <n v="33833"/>
  </r>
  <r>
    <x v="6"/>
    <s v="CNBC"/>
    <n v="244"/>
    <n v="-0.18"/>
    <s v="Negative"/>
    <n v="48"/>
    <n v="10615"/>
  </r>
  <r>
    <x v="6"/>
    <s v="Al Jazeera"/>
    <n v="265"/>
    <n v="-0.18"/>
    <s v="Negative"/>
    <n v="96"/>
    <n v="31051"/>
  </r>
  <r>
    <x v="6"/>
    <s v="NPR"/>
    <n v="263"/>
    <n v="-0.18"/>
    <s v="Negative"/>
    <n v="80"/>
    <n v="29102"/>
  </r>
  <r>
    <x v="7"/>
    <s v="Reuters"/>
    <n v="271"/>
    <n v="-0.26"/>
    <s v="Negative"/>
    <n v="111"/>
    <n v="23573"/>
  </r>
  <r>
    <x v="7"/>
    <s v="Bloomberg"/>
    <n v="410"/>
    <n v="-0.26"/>
    <s v="Negative"/>
    <n v="62"/>
    <n v="23882"/>
  </r>
  <r>
    <x v="7"/>
    <s v="AP News"/>
    <n v="312"/>
    <n v="-0.26"/>
    <s v="Negative"/>
    <n v="81"/>
    <n v="19455"/>
  </r>
  <r>
    <x v="7"/>
    <s v="BBC"/>
    <n v="357"/>
    <n v="-0.26"/>
    <s v="Negative"/>
    <n v="50"/>
    <n v="12860"/>
  </r>
  <r>
    <x v="7"/>
    <s v="CNBC"/>
    <n v="242"/>
    <n v="-0.26"/>
    <s v="Negative"/>
    <n v="74"/>
    <n v="27517"/>
  </r>
  <r>
    <x v="7"/>
    <s v="Al Jazeera"/>
    <n v="251"/>
    <n v="-0.26"/>
    <s v="Negative"/>
    <n v="76"/>
    <n v="36744"/>
  </r>
  <r>
    <x v="7"/>
    <s v="NPR"/>
    <n v="393"/>
    <n v="-0.26"/>
    <s v="Negative"/>
    <n v="45"/>
    <n v="153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BC97F-0BB2-49BC-9D32-EE7B9DFF741C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Country ">
  <location ref="A5:D18" firstHeaderRow="1" firstDataRow="2" firstDataCol="1"/>
  <pivotFields count="6">
    <pivotField numFmtId="14" showAll="0"/>
    <pivotField axis="axisRow" showAll="0">
      <items count="13">
        <item x="8"/>
        <item x="6"/>
        <item x="7"/>
        <item x="4"/>
        <item x="3"/>
        <item x="1"/>
        <item x="5"/>
        <item x="11"/>
        <item x="10"/>
        <item x="9"/>
        <item x="2"/>
        <item x="0"/>
        <item t="default"/>
      </items>
    </pivotField>
    <pivotField dataField="1"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5"/>
  </colFields>
  <colItems count="3">
    <i>
      <x/>
    </i>
    <i>
      <x v="1"/>
    </i>
    <i>
      <x v="2"/>
    </i>
  </colItems>
  <dataFields count="1">
    <dataField name="Average of Fuel_Price_Per_Liter_USD" fld="2" subtotal="average" baseField="1" baseItem="0" numFmtId="2"/>
  </dataFields>
  <formats count="5">
    <format dxfId="4">
      <pivotArea collapsedLevelsAreSubtotals="1" fieldPosition="0">
        <references count="2">
          <reference field="1" count="0"/>
          <reference field="5" count="1" selected="0">
            <x v="0"/>
          </reference>
        </references>
      </pivotArea>
    </format>
    <format dxfId="3">
      <pivotArea outline="0" collapsedLevelsAreSubtotals="1" fieldPosition="0"/>
    </format>
    <format dxfId="2">
      <pivotArea type="origin" dataOnly="0" labelOnly="1" outline="0" fieldPosition="0"/>
    </format>
    <format dxfId="1">
      <pivotArea field="5" type="button" dataOnly="0" labelOnly="1" outline="0" axis="axisCol" fieldPosition="0"/>
    </format>
    <format dxfId="0">
      <pivotArea type="topRight" dataOnly="0" labelOnly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55753-2662-4D5B-A870-BAAB5AD31C55}" name="PivotTable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Date">
  <location ref="T5:V13" firstHeaderRow="0" firstDataRow="1" firstDataCol="1"/>
  <pivotFields count="7"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Sum of Article_Mentions" fld="2" baseField="0" baseItem="0"/>
    <dataField name="Average of Sentiment_Score" fld="3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0E5FF-D825-4060-8AA9-699CBBCE2DDC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rowHeaderCaption="Shipping_Route">
  <location ref="O5:R9" firstHeaderRow="0" firstDataRow="1" firstDataCol="1"/>
  <pivotFields count="7">
    <pivotField numFmtId="1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ays_Delay_Average" fld="5" subtotal="average" baseField="1" baseItem="0"/>
    <dataField name="Average of Insurance_Premium_Increase_Percent" fld="6" subtotal="average" baseField="1" baseItem="0"/>
    <dataField name="Average of Avg_Freight_Rate_USD_per_TEU" fld="3" subtotal="average" baseField="1" baseItem="0" numFmtId="164"/>
  </dataFields>
  <formats count="3"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11E36-8993-4613-A860-9F097DF4E1C6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Date">
  <location ref="K5:M14" firstHeaderRow="1" firstDataRow="2" firstDataCol="1"/>
  <pivotFields count="7"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6"/>
  </colFields>
  <colItems count="2">
    <i>
      <x/>
    </i>
    <i>
      <x v="1"/>
    </i>
  </colItems>
  <dataFields count="1">
    <dataField name="Average of Percent_Change" fld="4" subtotal="average" baseField="0" baseItem="0" numFmtId="2"/>
  </dataFields>
  <formats count="4"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6" type="button" dataOnly="0" labelOnly="1" outline="0" axis="axisCol" fieldPosition="0"/>
    </format>
    <format dxfId="8">
      <pivotArea type="topRight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32C62-882E-4DFB-8E91-0087EC528BE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Crisis_Phase">
  <location ref="G5:I8" firstHeaderRow="0" firstDataRow="1" firstDataCol="1"/>
  <pivotFields count="14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WTI_Oil" fld="3" subtotal="average" baseField="2" baseItem="0"/>
    <dataField name="Average of Brent_Oil" fld="4" subtotal="average" baseField="2" baseItem="0"/>
  </dataFields>
  <formats count="4">
    <format dxfId="15">
      <pivotArea collapsedLevelsAreSubtotals="1" fieldPosition="0">
        <references count="1">
          <reference field="2" count="0"/>
        </references>
      </pivotArea>
    </format>
    <format dxfId="14">
      <pivotArea grandRow="1" outline="0" collapsedLevelsAreSubtotals="1" fieldPosition="0"/>
    </format>
    <format dxfId="13">
      <pivotArea field="2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D461E-5076-4B0B-AF89-7920D7780716}" name="Table1" displayName="Table1" ref="A1:N9" totalsRowShown="0" headerRowDxfId="27">
  <autoFilter ref="A1:N9" xr:uid="{EFED461E-5076-4B0B-AF89-7920D7780716}"/>
  <tableColumns count="14">
    <tableColumn id="1" xr3:uid="{7FBA1E2C-8EA8-4D4E-AA5E-E602A61A9E4A}" name="Date" dataDxfId="26"/>
    <tableColumn id="10" xr3:uid="{BBE5E56C-8451-496E-A73A-A2DF788CB5AD}" name="Day_of_week" dataDxfId="25">
      <calculatedColumnFormula>VLOOKUP(Table1[[#This Row],[Date]],crude_oil_prices_crisis_period!A1:F16,5,FALSE)</calculatedColumnFormula>
    </tableColumn>
    <tableColumn id="2" xr3:uid="{5F04ED8B-5F90-41FB-9F1A-B8F91CE2B40A}" name="Crisis_Phase"/>
    <tableColumn id="3" xr3:uid="{13D8F4F2-3467-4292-9017-5A4DEAA50CBE}" name="WTI_Oil">
      <calculatedColumnFormula>VLOOKUP(A2,crude_oil_prices_crisis_period!A1:F16,2,FALSE)</calculatedColumnFormula>
    </tableColumn>
    <tableColumn id="4" xr3:uid="{BAB11D4F-2CEB-4B4D-B955-A93EB9EC8058}" name="Brent_Oil"/>
    <tableColumn id="5" xr3:uid="{8E59A603-9C5D-474C-A7A7-29FC0487EC83}" name="INR_USD" dataDxfId="24">
      <calculatedColumnFormula array="1">_xlfn.XLOOKUP(1,(currency_inflation_indicators!A:A=Table1[[#This Row],[Date]])*(currency_inflation_indicators!B:B=Table1[[#Headers],[INR_USD]]),currency_inflation_indicators!C:C)</calculatedColumnFormula>
    </tableColumn>
    <tableColumn id="6" xr3:uid="{4B6DE0EF-9728-40D3-A81A-4E20E23E1081}" name="USD_Index" dataDxfId="23">
      <calculatedColumnFormula array="1">_xlfn.XLOOKUP(1,(currency_inflation_indicators!A:A=Table1[[#This Row],[Date]])*(currency_inflation_indicators!B:B=Table1[[#Headers],[USD_Index]]),currency_inflation_indicators!C:C)</calculatedColumnFormula>
    </tableColumn>
    <tableColumn id="7" xr3:uid="{44666C6F-0542-4C85-9969-C42C1A4FFD54}" name="SPLG (S&amp;P 500)" dataDxfId="22">
      <calculatedColumnFormula array="1">_xlfn.XLOOKUP(1,(stock_market_impact_energy_sect!A:A=Table1[[#This Row],[Date]])*(stock_market_impact_energy_sect!B:B=Table1[[#Headers],[SPLG (S&amp;P 500)]]),stock_market_impact_energy_sect!E:E)</calculatedColumnFormula>
    </tableColumn>
    <tableColumn id="8" xr3:uid="{263327AF-754F-49E9-8C2C-AC29940CE920}" name="Fright Rate(Hormuz)" dataDxfId="21">
      <calculatedColumnFormula array="1">_xlfn.XLOOKUP(1,(shipping_logistics_disruption!A:A=Table1[[#This Row],[Date]])*(shipping_logistics_disruption!B:B="Strait of Hormuz"),shipping_logistics_disruption!D:D)</calculatedColumnFormula>
    </tableColumn>
    <tableColumn id="9" xr3:uid="{45807E02-A326-4AF4-80A0-6BE46A3CF6D4}" name="Sentiment Score" dataDxfId="20">
      <calculatedColumnFormula>AVERAGEIF(news_sentiment_media_coverage!A1:G57,Table1[[#This Row],[Date]],news_sentiment_media_coverage!D1)</calculatedColumnFormula>
    </tableColumn>
    <tableColumn id="11" xr3:uid="{5746435B-F639-4C91-9C24-71A6C7386A3E}" name="Oil_Change_from_day_0(%)" dataDxfId="19" dataCellStyle="Percent">
      <calculatedColumnFormula>(Table1[[#This Row],[WTI_Oil]]-D1)/D1*100</calculatedColumnFormula>
    </tableColumn>
    <tableColumn id="12" xr3:uid="{F9D07751-7617-444C-BD99-41FF13E6EDF3}" name="Fuel_price(India)_from_day0(%)" dataDxfId="18">
      <calculatedColumnFormula>(Table1[[#This Row],[INR_USD]]-F1)/F1*100</calculatedColumnFormula>
    </tableColumn>
    <tableColumn id="13" xr3:uid="{DF44B415-2D9B-4BCF-999F-D72A60078E1C}" name="USD_Index_From_Day0(%)" dataDxfId="17">
      <calculatedColumnFormula>(Table1[[#This Row],[USD_Index]]-G1)/G1*100</calculatedColumnFormula>
    </tableColumn>
    <tableColumn id="14" xr3:uid="{6BB0E25E-D7F8-4373-B2CF-120F74016E06}" name="FrightRate_From_day0(%)" dataDxfId="16">
      <calculatedColumnFormula>(Table1[[#This Row],[Fright Rate(Hormuz)]]-I1)/I1*100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1E7C-6345-415A-8C00-96470901B4BB}">
  <dimension ref="A1:N19"/>
  <sheetViews>
    <sheetView tabSelected="1" workbookViewId="0">
      <selection activeCell="K17" sqref="K17"/>
    </sheetView>
  </sheetViews>
  <sheetFormatPr defaultRowHeight="15" x14ac:dyDescent="0.25"/>
  <cols>
    <col min="1" max="1" width="11.5703125" customWidth="1"/>
    <col min="2" max="2" width="15.5703125" bestFit="1" customWidth="1"/>
    <col min="3" max="4" width="12" bestFit="1" customWidth="1"/>
    <col min="5" max="5" width="10.7109375" bestFit="1" customWidth="1"/>
    <col min="6" max="6" width="17" customWidth="1"/>
    <col min="7" max="7" width="12.42578125" bestFit="1" customWidth="1"/>
    <col min="8" max="8" width="16.28515625" bestFit="1" customWidth="1"/>
    <col min="9" max="9" width="20.28515625" bestFit="1" customWidth="1"/>
    <col min="10" max="10" width="10.28515625" bestFit="1" customWidth="1"/>
    <col min="11" max="11" width="11.140625" customWidth="1"/>
    <col min="12" max="12" width="15.42578125" customWidth="1"/>
    <col min="13" max="13" width="15.7109375" customWidth="1"/>
    <col min="14" max="14" width="15.28515625" customWidth="1"/>
  </cols>
  <sheetData>
    <row r="1" spans="1:14" s="3" customFormat="1" ht="47.45" customHeight="1" x14ac:dyDescent="0.25">
      <c r="A1" s="3" t="s">
        <v>12</v>
      </c>
      <c r="B1" s="3" t="s">
        <v>89</v>
      </c>
      <c r="C1" s="3" t="s">
        <v>17</v>
      </c>
      <c r="D1" s="3" t="s">
        <v>85</v>
      </c>
      <c r="E1" s="3" t="s">
        <v>86</v>
      </c>
      <c r="F1" s="3" t="s">
        <v>43</v>
      </c>
      <c r="G1" s="3" t="s">
        <v>40</v>
      </c>
      <c r="H1" s="3" t="s">
        <v>82</v>
      </c>
      <c r="I1" s="3" t="s">
        <v>87</v>
      </c>
      <c r="J1" s="3" t="s">
        <v>88</v>
      </c>
      <c r="K1" s="3" t="s">
        <v>90</v>
      </c>
      <c r="L1" s="3" t="s">
        <v>91</v>
      </c>
      <c r="M1" s="3" t="s">
        <v>92</v>
      </c>
      <c r="N1" s="3" t="s">
        <v>93</v>
      </c>
    </row>
    <row r="2" spans="1:14" x14ac:dyDescent="0.25">
      <c r="A2" s="1">
        <v>46113</v>
      </c>
      <c r="B2" s="1" t="str">
        <f>VLOOKUP(Table1[[#This Row],[Date]],crude_oil_prices_crisis_period!A1:F16,5,FALSE)</f>
        <v>Wednesday</v>
      </c>
      <c r="C2" t="s">
        <v>20</v>
      </c>
      <c r="D2">
        <f>VLOOKUP(A2,crude_oil_prices_crisis_period!A1:F16,2,FALSE)</f>
        <v>93.49</v>
      </c>
      <c r="E2">
        <f>VLOOKUP(Table1[[#This Row],[Date]],crude_oil_prices_crisis_period!A1:F16,3,FALSE)</f>
        <v>95.99</v>
      </c>
      <c r="F2" cm="1">
        <f t="array" ref="F2">_xlfn.XLOOKUP(1,(currency_inflation_indicators!A:A=Table1[[#This Row],[Date]])*(currency_inflation_indicators!B:B=Table1[[#Headers],[INR_USD]]),currency_inflation_indicators!C:C)</f>
        <v>83.24</v>
      </c>
      <c r="G2" cm="1">
        <f t="array" ref="G2">_xlfn.XLOOKUP(1,(currency_inflation_indicators!A:A=Table1[[#This Row],[Date]])*(currency_inflation_indicators!B:B=Table1[[#Headers],[USD_Index]]),currency_inflation_indicators!C:C)</f>
        <v>104.5</v>
      </c>
      <c r="H2" cm="1">
        <f t="array" ref="H2">_xlfn.XLOOKUP(1,(stock_market_impact_energy_sect!A:A=Table1[[#This Row],[Date]])*(stock_market_impact_energy_sect!B:B=Table1[[#Headers],[SPLG (S&amp;P 500)]]),stock_market_impact_energy_sect!E:E)</f>
        <v>-0.5</v>
      </c>
      <c r="I2" cm="1">
        <f t="array" ref="I2">_xlfn.XLOOKUP(1,(shipping_logistics_disruption!A:A=Table1[[#This Row],[Date]])*(shipping_logistics_disruption!B:B="Strait of Hormuz"),shipping_logistics_disruption!D:D)</f>
        <v>1741.66</v>
      </c>
      <c r="J2">
        <f ca="1">AVERAGEIF(news_sentiment_media_coverage!A1:G57,Table1[[#This Row],[Date]],news_sentiment_media_coverage!D1)</f>
        <v>0.3</v>
      </c>
      <c r="K2" s="4">
        <v>0</v>
      </c>
      <c r="L2" s="2">
        <v>0</v>
      </c>
      <c r="M2" s="2">
        <v>0</v>
      </c>
      <c r="N2" s="2">
        <v>0</v>
      </c>
    </row>
    <row r="3" spans="1:14" x14ac:dyDescent="0.25">
      <c r="A3" s="1">
        <v>46114</v>
      </c>
      <c r="B3" s="1" t="str">
        <f>VLOOKUP(Table1[[#This Row],[Date]],crude_oil_prices_crisis_period!A2:F17,5,FALSE)</f>
        <v>Thursday</v>
      </c>
      <c r="C3" t="s">
        <v>20</v>
      </c>
      <c r="D3">
        <f>VLOOKUP(A3,crude_oil_prices_crisis_period!A2:F17,2,FALSE)</f>
        <v>94.24</v>
      </c>
      <c r="E3">
        <v>96.74</v>
      </c>
      <c r="F3" cm="1">
        <f t="array" ref="F3">_xlfn.XLOOKUP(1,(currency_inflation_indicators!A:A=Table1[[#This Row],[Date]])*(currency_inflation_indicators!B:B=Table1[[#Headers],[INR_USD]]),currency_inflation_indicators!C:C)</f>
        <v>83.22</v>
      </c>
      <c r="G3" cm="1">
        <f t="array" ref="G3">_xlfn.XLOOKUP(1,(currency_inflation_indicators!A:A=Table1[[#This Row],[Date]])*(currency_inflation_indicators!B:B=Table1[[#Headers],[USD_Index]]),currency_inflation_indicators!C:C)</f>
        <v>104.85</v>
      </c>
      <c r="H3" cm="1">
        <f t="array" ref="H3">_xlfn.XLOOKUP(1,(stock_market_impact_energy_sect!A:A=Table1[[#This Row],[Date]])*(stock_market_impact_energy_sect!B:B=Table1[[#Headers],[SPLG (S&amp;P 500)]]),stock_market_impact_energy_sect!E:E)</f>
        <v>-0.84</v>
      </c>
      <c r="I3" cm="1">
        <f t="array" ref="I3">_xlfn.XLOOKUP(1,(shipping_logistics_disruption!A:A=Table1[[#This Row],[Date]])*(shipping_logistics_disruption!B:B="Strait of Hormuz"),shipping_logistics_disruption!D:D)</f>
        <v>1930.09</v>
      </c>
      <c r="J3">
        <f ca="1">AVERAGEIF(news_sentiment_media_coverage!A2:G58,Table1[[#This Row],[Date]],news_sentiment_media_coverage!D2)</f>
        <v>0.22</v>
      </c>
      <c r="K3" s="4">
        <f>(Table1[[#This Row],[WTI_Oil]]-D2)/D2*100</f>
        <v>0.80222483688094992</v>
      </c>
      <c r="L3" s="2">
        <f>(Table1[[#This Row],[INR_USD]]-F2)/F2*100</f>
        <v>-2.40269101393513E-2</v>
      </c>
      <c r="M3" s="2">
        <f>(Table1[[#This Row],[USD_Index]]-G2)/G2*100</f>
        <v>0.3349282296650663</v>
      </c>
      <c r="N3" s="2">
        <f>(Table1[[#This Row],[Fright Rate(Hormuz)]]-I2)/I2*100</f>
        <v>10.818988780818289</v>
      </c>
    </row>
    <row r="4" spans="1:14" x14ac:dyDescent="0.25">
      <c r="A4" s="1">
        <v>46115</v>
      </c>
      <c r="B4" s="1" t="str">
        <f>VLOOKUP(Table1[[#This Row],[Date]],crude_oil_prices_crisis_period!A3:F18,5,FALSE)</f>
        <v>Friday</v>
      </c>
      <c r="C4" t="s">
        <v>20</v>
      </c>
      <c r="D4">
        <f>VLOOKUP(A4,crude_oil_prices_crisis_period!A3:F18,2,FALSE)</f>
        <v>93.88</v>
      </c>
      <c r="E4">
        <v>96.38</v>
      </c>
      <c r="F4" cm="1">
        <f t="array" ref="F4">_xlfn.XLOOKUP(1,(currency_inflation_indicators!A:A=Table1[[#This Row],[Date]])*(currency_inflation_indicators!B:B=Table1[[#Headers],[INR_USD]]),currency_inflation_indicators!C:C)</f>
        <v>83.2</v>
      </c>
      <c r="G4" cm="1">
        <f t="array" ref="G4">_xlfn.XLOOKUP(1,(currency_inflation_indicators!A:A=Table1[[#This Row],[Date]])*(currency_inflation_indicators!B:B=Table1[[#Headers],[USD_Index]]),currency_inflation_indicators!C:C)</f>
        <v>105.2</v>
      </c>
      <c r="H4" cm="1">
        <f t="array" ref="H4">_xlfn.XLOOKUP(1,(stock_market_impact_energy_sect!A:A=Table1[[#This Row],[Date]])*(stock_market_impact_energy_sect!B:B=Table1[[#Headers],[SPLG (S&amp;P 500)]]),stock_market_impact_energy_sect!E:E)</f>
        <v>-1.18</v>
      </c>
      <c r="I4" cm="1">
        <f t="array" ref="I4">_xlfn.XLOOKUP(1,(shipping_logistics_disruption!A:A=Table1[[#This Row],[Date]])*(shipping_logistics_disruption!B:B="Strait of Hormuz"),shipping_logistics_disruption!D:D)</f>
        <v>1518.98</v>
      </c>
      <c r="J4">
        <f ca="1">AVERAGEIF(news_sentiment_media_coverage!A3:G59,Table1[[#This Row],[Date]],news_sentiment_media_coverage!D3)</f>
        <v>0.14000000000000001</v>
      </c>
      <c r="K4" s="4">
        <f>(Table1[[#This Row],[WTI_Oil]]-D3)/D3*100</f>
        <v>-0.38200339558573793</v>
      </c>
      <c r="L4" s="2">
        <f>(Table1[[#This Row],[INR_USD]]-F3)/F3*100</f>
        <v>-2.4032684450848382E-2</v>
      </c>
      <c r="M4" s="2">
        <f>(Table1[[#This Row],[USD_Index]]-G3)/G3*100</f>
        <v>0.33381020505484843</v>
      </c>
      <c r="N4" s="2">
        <f>(Table1[[#This Row],[Fright Rate(Hormuz)]]-I3)/I3*100</f>
        <v>-21.300043003176015</v>
      </c>
    </row>
    <row r="5" spans="1:14" x14ac:dyDescent="0.25">
      <c r="A5" s="1">
        <v>46116</v>
      </c>
      <c r="B5" s="1" t="str">
        <f>VLOOKUP(Table1[[#This Row],[Date]],crude_oil_prices_crisis_period!A4:F19,5,FALSE)</f>
        <v>Saturday</v>
      </c>
      <c r="C5" t="s">
        <v>20</v>
      </c>
      <c r="D5">
        <f>VLOOKUP(A5,crude_oil_prices_crisis_period!A4:F19,2,FALSE)</f>
        <v>109.76</v>
      </c>
      <c r="E5">
        <v>112.26</v>
      </c>
      <c r="F5" cm="1">
        <f t="array" ref="F5">_xlfn.XLOOKUP(1,(currency_inflation_indicators!A:A=Table1[[#This Row],[Date]])*(currency_inflation_indicators!B:B=Table1[[#Headers],[INR_USD]]),currency_inflation_indicators!C:C)</f>
        <v>83.18</v>
      </c>
      <c r="G5" cm="1">
        <f t="array" ref="G5">_xlfn.XLOOKUP(1,(currency_inflation_indicators!A:A=Table1[[#This Row],[Date]])*(currency_inflation_indicators!B:B=Table1[[#Headers],[USD_Index]]),currency_inflation_indicators!C:C)</f>
        <v>105.55</v>
      </c>
      <c r="H5" cm="1">
        <f t="array" ref="H5">_xlfn.XLOOKUP(1,(stock_market_impact_energy_sect!A:A=Table1[[#This Row],[Date]])*(stock_market_impact_energy_sect!B:B=Table1[[#Headers],[SPLG (S&amp;P 500)]]),stock_market_impact_energy_sect!E:E)</f>
        <v>-1.51</v>
      </c>
      <c r="I5" cm="1">
        <f t="array" ref="I5">_xlfn.XLOOKUP(1,(shipping_logistics_disruption!A:A=Table1[[#This Row],[Date]])*(shipping_logistics_disruption!B:B="Strait of Hormuz"),shipping_logistics_disruption!D:D)</f>
        <v>1818.72</v>
      </c>
      <c r="J5">
        <f ca="1">AVERAGEIF(news_sentiment_media_coverage!A4:G60,Table1[[#This Row],[Date]],news_sentiment_media_coverage!D4)</f>
        <v>0.06</v>
      </c>
      <c r="K5" s="4">
        <f>(Table1[[#This Row],[WTI_Oil]]-D4)/D4*100</f>
        <v>16.915210907541553</v>
      </c>
      <c r="L5" s="2">
        <f>(Table1[[#This Row],[INR_USD]]-F4)/F4*100</f>
        <v>-2.4038461538456755E-2</v>
      </c>
      <c r="M5" s="2">
        <f>(Table1[[#This Row],[USD_Index]]-G4)/G4*100</f>
        <v>0.33269961977185775</v>
      </c>
      <c r="N5" s="2">
        <f>(Table1[[#This Row],[Fright Rate(Hormuz)]]-I4)/I4*100</f>
        <v>19.732978709397095</v>
      </c>
    </row>
    <row r="6" spans="1:14" x14ac:dyDescent="0.25">
      <c r="A6" s="1">
        <v>46117</v>
      </c>
      <c r="B6" s="1" t="str">
        <f>VLOOKUP(Table1[[#This Row],[Date]],crude_oil_prices_crisis_period!A5:F20,5,FALSE)</f>
        <v>Sunday</v>
      </c>
      <c r="C6" t="s">
        <v>21</v>
      </c>
      <c r="D6">
        <f>VLOOKUP(A6,crude_oil_prices_crisis_period!A5:F20,2,FALSE)</f>
        <v>112.52</v>
      </c>
      <c r="E6">
        <v>115.02</v>
      </c>
      <c r="F6" cm="1">
        <f t="array" ref="F6">_xlfn.XLOOKUP(1,(currency_inflation_indicators!A:A=Table1[[#This Row],[Date]])*(currency_inflation_indicators!B:B=Table1[[#Headers],[INR_USD]]),currency_inflation_indicators!C:C)</f>
        <v>83.16</v>
      </c>
      <c r="G6" cm="1">
        <f t="array" ref="G6">_xlfn.XLOOKUP(1,(currency_inflation_indicators!A:A=Table1[[#This Row],[Date]])*(currency_inflation_indicators!B:B=Table1[[#Headers],[USD_Index]]),currency_inflation_indicators!C:C)</f>
        <v>105.9</v>
      </c>
      <c r="H6" cm="1">
        <f t="array" ref="H6">_xlfn.XLOOKUP(1,(stock_market_impact_energy_sect!A:A=Table1[[#This Row],[Date]])*(stock_market_impact_energy_sect!B:B=Table1[[#Headers],[SPLG (S&amp;P 500)]]),stock_market_impact_energy_sect!E:E)</f>
        <v>-1.85</v>
      </c>
      <c r="I6" cm="1">
        <f t="array" ref="I6">_xlfn.XLOOKUP(1,(shipping_logistics_disruption!A:A=Table1[[#This Row],[Date]])*(shipping_logistics_disruption!B:B="Strait of Hormuz"),shipping_logistics_disruption!D:D)</f>
        <v>2442.66</v>
      </c>
      <c r="J6">
        <f ca="1">AVERAGEIF(news_sentiment_media_coverage!A5:G61,Table1[[#This Row],[Date]],news_sentiment_media_coverage!D5)</f>
        <v>-0.02</v>
      </c>
      <c r="K6" s="4">
        <f>(Table1[[#This Row],[WTI_Oil]]-D5)/D5*100</f>
        <v>2.5145772594752103</v>
      </c>
      <c r="L6" s="2">
        <f>(Table1[[#This Row],[INR_USD]]-F5)/F5*100</f>
        <v>-2.4044241404195997E-2</v>
      </c>
      <c r="M6" s="2">
        <f>(Table1[[#This Row],[USD_Index]]-G5)/G5*100</f>
        <v>0.33159639981052441</v>
      </c>
      <c r="N6" s="2">
        <f>(Table1[[#This Row],[Fright Rate(Hormuz)]]-I5)/I5*100</f>
        <v>34.306545262602263</v>
      </c>
    </row>
    <row r="7" spans="1:14" x14ac:dyDescent="0.25">
      <c r="A7" s="1">
        <v>46118</v>
      </c>
      <c r="B7" s="1" t="str">
        <f>VLOOKUP(Table1[[#This Row],[Date]],crude_oil_prices_crisis_period!A6:F21,5,FALSE)</f>
        <v>Monday</v>
      </c>
      <c r="C7" t="s">
        <v>21</v>
      </c>
      <c r="D7">
        <f>VLOOKUP(A7,crude_oil_prices_crisis_period!A6:F21,2,FALSE)</f>
        <v>110.24</v>
      </c>
      <c r="E7">
        <v>112.74</v>
      </c>
      <c r="F7" cm="1">
        <f t="array" ref="F7">_xlfn.XLOOKUP(1,(currency_inflation_indicators!A:A=Table1[[#This Row],[Date]])*(currency_inflation_indicators!B:B=Table1[[#Headers],[INR_USD]]),currency_inflation_indicators!C:C)</f>
        <v>83.14</v>
      </c>
      <c r="G7" cm="1">
        <f t="array" ref="G7">_xlfn.XLOOKUP(1,(currency_inflation_indicators!A:A=Table1[[#This Row],[Date]])*(currency_inflation_indicators!B:B=Table1[[#Headers],[USD_Index]]),currency_inflation_indicators!C:C)</f>
        <v>106.25</v>
      </c>
      <c r="H7" cm="1">
        <f t="array" ref="H7">_xlfn.XLOOKUP(1,(stock_market_impact_energy_sect!A:A=Table1[[#This Row],[Date]])*(stock_market_impact_energy_sect!B:B=Table1[[#Headers],[SPLG (S&amp;P 500)]]),stock_market_impact_energy_sect!E:E)</f>
        <v>-2.19</v>
      </c>
      <c r="I7" cm="1">
        <f t="array" ref="I7">_xlfn.XLOOKUP(1,(shipping_logistics_disruption!A:A=Table1[[#This Row],[Date]])*(shipping_logistics_disruption!B:B="Strait of Hormuz"),shipping_logistics_disruption!D:D)</f>
        <v>2781.18</v>
      </c>
      <c r="J7">
        <f ca="1">AVERAGEIF(news_sentiment_media_coverage!A6:G62,Table1[[#This Row],[Date]],news_sentiment_media_coverage!D6)</f>
        <v>-9.9999999999999992E-2</v>
      </c>
      <c r="K7" s="4">
        <f>(Table1[[#This Row],[WTI_Oil]]-D6)/D6*100</f>
        <v>-2.0263064344116613</v>
      </c>
      <c r="L7" s="2">
        <f>(Table1[[#This Row],[INR_USD]]-F6)/F6*100</f>
        <v>-2.4050024050019266E-2</v>
      </c>
      <c r="M7" s="2">
        <f>(Table1[[#This Row],[USD_Index]]-G6)/G6*100</f>
        <v>0.33050047214352624</v>
      </c>
      <c r="N7" s="2">
        <f>(Table1[[#This Row],[Fright Rate(Hormuz)]]-I6)/I6*100</f>
        <v>13.858662278008401</v>
      </c>
    </row>
    <row r="8" spans="1:14" x14ac:dyDescent="0.25">
      <c r="A8" s="1">
        <v>46119</v>
      </c>
      <c r="B8" s="1" t="str">
        <f>VLOOKUP(Table1[[#This Row],[Date]],crude_oil_prices_crisis_period!A7:F22,5,FALSE)</f>
        <v>Tuesday</v>
      </c>
      <c r="C8" t="s">
        <v>21</v>
      </c>
      <c r="D8">
        <f>VLOOKUP(A8,crude_oil_prices_crisis_period!A7:F22,2,FALSE)</f>
        <v>109.42</v>
      </c>
      <c r="E8">
        <v>111.92</v>
      </c>
      <c r="F8" cm="1">
        <f t="array" ref="F8">_xlfn.XLOOKUP(1,(currency_inflation_indicators!A:A=Table1[[#This Row],[Date]])*(currency_inflation_indicators!B:B=Table1[[#Headers],[INR_USD]]),currency_inflation_indicators!C:C)</f>
        <v>83.12</v>
      </c>
      <c r="G8" cm="1">
        <f t="array" ref="G8">_xlfn.XLOOKUP(1,(currency_inflation_indicators!A:A=Table1[[#This Row],[Date]])*(currency_inflation_indicators!B:B=Table1[[#Headers],[USD_Index]]),currency_inflation_indicators!C:C)</f>
        <v>106.6</v>
      </c>
      <c r="H8" cm="1">
        <f t="array" ref="H8">_xlfn.XLOOKUP(1,(stock_market_impact_energy_sect!A:A=Table1[[#This Row],[Date]])*(stock_market_impact_energy_sect!B:B=Table1[[#Headers],[SPLG (S&amp;P 500)]]),stock_market_impact_energy_sect!E:E)</f>
        <v>-2.5299999999999998</v>
      </c>
      <c r="I8" cm="1">
        <f t="array" ref="I8">_xlfn.XLOOKUP(1,(shipping_logistics_disruption!A:A=Table1[[#This Row],[Date]])*(shipping_logistics_disruption!B:B="Strait of Hormuz"),shipping_logistics_disruption!D:D)</f>
        <v>2414.98</v>
      </c>
      <c r="J8">
        <f ca="1">AVERAGEIF(news_sentiment_media_coverage!A7:G63,Table1[[#This Row],[Date]],news_sentiment_media_coverage!D7)</f>
        <v>-0.17999999999999997</v>
      </c>
      <c r="K8" s="4">
        <f>(Table1[[#This Row],[WTI_Oil]]-D7)/D7*100</f>
        <v>-0.74383164005804903</v>
      </c>
      <c r="L8" s="2">
        <f>(Table1[[#This Row],[INR_USD]]-F7)/F7*100</f>
        <v>-2.405580947798415E-2</v>
      </c>
      <c r="M8" s="2">
        <f>(Table1[[#This Row],[USD_Index]]-G7)/G7*100</f>
        <v>0.32941176470587696</v>
      </c>
      <c r="N8" s="2">
        <f>(Table1[[#This Row],[Fright Rate(Hormuz)]]-I7)/I7*100</f>
        <v>-13.167072969027529</v>
      </c>
    </row>
    <row r="9" spans="1:14" x14ac:dyDescent="0.25">
      <c r="A9" s="1">
        <v>46120</v>
      </c>
      <c r="B9" s="1" t="str">
        <f>VLOOKUP(Table1[[#This Row],[Date]],crude_oil_prices_crisis_period!A8:F23,5,FALSE)</f>
        <v>Wednesday</v>
      </c>
      <c r="C9" t="s">
        <v>22</v>
      </c>
      <c r="D9">
        <f>VLOOKUP(A9,crude_oil_prices_crisis_period!A8:F23,2,FALSE)</f>
        <v>112.4</v>
      </c>
      <c r="E9">
        <v>114.9</v>
      </c>
      <c r="F9" cm="1">
        <f t="array" ref="F9">_xlfn.XLOOKUP(1,(currency_inflation_indicators!A:A=Table1[[#This Row],[Date]])*(currency_inflation_indicators!B:B=Table1[[#Headers],[INR_USD]]),currency_inflation_indicators!C:C)</f>
        <v>83.1</v>
      </c>
      <c r="G9" cm="1">
        <f t="array" ref="G9">_xlfn.XLOOKUP(1,(currency_inflation_indicators!A:A=Table1[[#This Row],[Date]])*(currency_inflation_indicators!B:B=Table1[[#Headers],[USD_Index]]),currency_inflation_indicators!C:C)</f>
        <v>106.95</v>
      </c>
      <c r="H9" cm="1">
        <f t="array" ref="H9">_xlfn.XLOOKUP(1,(stock_market_impact_energy_sect!A:A=Table1[[#This Row],[Date]])*(stock_market_impact_energy_sect!B:B=Table1[[#Headers],[SPLG (S&amp;P 500)]]),stock_market_impact_energy_sect!E:E)</f>
        <v>-2.86</v>
      </c>
      <c r="I9" cm="1">
        <f t="array" ref="I9">_xlfn.XLOOKUP(1,(shipping_logistics_disruption!A:A=Table1[[#This Row],[Date]])*(shipping_logistics_disruption!B:B="Strait of Hormuz"),shipping_logistics_disruption!D:D)</f>
        <v>2303.0500000000002</v>
      </c>
      <c r="J9">
        <f ca="1">AVERAGEIF(news_sentiment_media_coverage!A8:G64,Table1[[#This Row],[Date]],news_sentiment_media_coverage!D8)</f>
        <v>-0.26</v>
      </c>
      <c r="K9" s="4">
        <f>(Table1[[#This Row],[WTI_Oil]]-D8)/D8*100</f>
        <v>2.7234509230488064</v>
      </c>
      <c r="L9" s="2">
        <f>(Table1[[#This Row],[INR_USD]]-F8)/F8*100</f>
        <v>-2.406159769009893E-2</v>
      </c>
      <c r="M9" s="2">
        <f>(Table1[[#This Row],[USD_Index]]-G8)/G8*100</f>
        <v>0.32833020637899485</v>
      </c>
      <c r="N9" s="2">
        <f>(Table1[[#This Row],[Fright Rate(Hormuz)]]-I8)/I8*100</f>
        <v>-4.6348209923063477</v>
      </c>
    </row>
    <row r="12" spans="1:14" ht="27.6" customHeight="1" x14ac:dyDescent="0.25"/>
    <row r="19" ht="55.1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59E3-256E-403E-A95E-A536C2DB813C}">
  <dimension ref="A1:S36"/>
  <sheetViews>
    <sheetView zoomScaleNormal="100" workbookViewId="0">
      <selection activeCell="X16" sqref="X16"/>
    </sheetView>
  </sheetViews>
  <sheetFormatPr defaultRowHeight="15" x14ac:dyDescent="0.25"/>
  <sheetData>
    <row r="1" spans="1:19" ht="14.45" customHeight="1" x14ac:dyDescent="0.25">
      <c r="A1" s="17" t="s">
        <v>121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14.4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</sheetData>
  <mergeCells count="1">
    <mergeCell ref="A1:S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66F7-CD08-4B44-B0D8-B2D64E728F0B}">
  <dimension ref="A1:AC50"/>
  <sheetViews>
    <sheetView zoomScaleNormal="100" workbookViewId="0">
      <selection activeCell="K5" sqref="K5"/>
    </sheetView>
  </sheetViews>
  <sheetFormatPr defaultRowHeight="15" x14ac:dyDescent="0.25"/>
  <cols>
    <col min="1" max="1" width="13.42578125" bestFit="1" customWidth="1"/>
    <col min="2" max="2" width="9.7109375" bestFit="1" customWidth="1"/>
    <col min="3" max="3" width="6.5703125" bestFit="1" customWidth="1"/>
    <col min="4" max="5" width="8.7109375" bestFit="1" customWidth="1"/>
    <col min="7" max="7" width="13.42578125" bestFit="1" customWidth="1"/>
    <col min="8" max="9" width="10.140625" bestFit="1" customWidth="1"/>
    <col min="11" max="11" width="13.85546875" bestFit="1" customWidth="1"/>
    <col min="12" max="12" width="15.5703125" bestFit="1" customWidth="1"/>
    <col min="13" max="13" width="14.7109375" customWidth="1"/>
    <col min="14" max="14" width="10.7109375" bestFit="1" customWidth="1"/>
    <col min="15" max="15" width="16.7109375" bestFit="1" customWidth="1"/>
    <col min="16" max="16" width="18.7109375" bestFit="1" customWidth="1"/>
    <col min="17" max="17" width="18.140625" bestFit="1" customWidth="1"/>
    <col min="18" max="18" width="16.85546875" customWidth="1"/>
    <col min="20" max="20" width="10.28515625" bestFit="1" customWidth="1"/>
    <col min="21" max="21" width="22.140625" bestFit="1" customWidth="1"/>
    <col min="22" max="22" width="25.28515625" bestFit="1" customWidth="1"/>
    <col min="23" max="23" width="12.7109375" bestFit="1" customWidth="1"/>
  </cols>
  <sheetData>
    <row r="1" spans="1:29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x14ac:dyDescent="0.25">
      <c r="A2" s="19" t="s">
        <v>116</v>
      </c>
      <c r="B2" s="19"/>
      <c r="C2" s="19"/>
      <c r="D2" s="19"/>
      <c r="E2" s="12"/>
      <c r="F2" s="12"/>
      <c r="G2" s="19" t="s">
        <v>118</v>
      </c>
      <c r="H2" s="19"/>
      <c r="I2" s="19"/>
      <c r="J2" s="12"/>
      <c r="K2" s="19" t="s">
        <v>119</v>
      </c>
      <c r="L2" s="19"/>
      <c r="M2" s="19"/>
      <c r="N2" s="12"/>
      <c r="O2" s="19" t="s">
        <v>120</v>
      </c>
      <c r="P2" s="19"/>
      <c r="Q2" s="19"/>
      <c r="R2" s="19"/>
      <c r="S2" s="12"/>
      <c r="T2" s="19" t="s">
        <v>117</v>
      </c>
      <c r="U2" s="19"/>
      <c r="V2" s="19"/>
      <c r="W2" s="12"/>
      <c r="X2" s="12"/>
      <c r="Y2" s="12"/>
      <c r="Z2" s="12"/>
      <c r="AA2" s="12"/>
      <c r="AB2" s="12"/>
      <c r="AC2" s="12"/>
    </row>
    <row r="3" spans="1:29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x14ac:dyDescent="0.25">
      <c r="A4" s="20" t="s">
        <v>97</v>
      </c>
      <c r="B4" s="20"/>
      <c r="C4" s="20"/>
      <c r="D4" s="12"/>
      <c r="E4" s="12"/>
      <c r="F4" s="12"/>
      <c r="G4" s="20" t="s">
        <v>96</v>
      </c>
      <c r="H4" s="20"/>
      <c r="I4" s="20"/>
      <c r="J4" s="12"/>
      <c r="K4" s="20" t="s">
        <v>104</v>
      </c>
      <c r="L4" s="20"/>
      <c r="M4" s="20"/>
      <c r="N4" s="12"/>
      <c r="O4" s="20" t="s">
        <v>107</v>
      </c>
      <c r="P4" s="20"/>
      <c r="Q4" s="20"/>
      <c r="R4" s="12"/>
      <c r="S4" s="12"/>
      <c r="T4" s="20" t="s">
        <v>112</v>
      </c>
      <c r="U4" s="20"/>
      <c r="V4" s="20"/>
      <c r="W4" s="12"/>
      <c r="X4" s="12"/>
      <c r="Y4" s="12"/>
      <c r="Z4" s="12"/>
      <c r="AA4" s="12"/>
      <c r="AB4" s="12"/>
      <c r="AC4" s="12"/>
    </row>
    <row r="5" spans="1:29" s="3" customFormat="1" ht="60" x14ac:dyDescent="0.25">
      <c r="A5" s="8" t="s">
        <v>99</v>
      </c>
      <c r="B5" s="8" t="s">
        <v>98</v>
      </c>
      <c r="E5" s="15"/>
      <c r="F5" s="16"/>
      <c r="G5" s="8" t="s">
        <v>17</v>
      </c>
      <c r="H5" s="3" t="s">
        <v>94</v>
      </c>
      <c r="I5" s="3" t="s">
        <v>95</v>
      </c>
      <c r="J5" s="16"/>
      <c r="K5" s="8" t="s">
        <v>105</v>
      </c>
      <c r="L5" s="8" t="s">
        <v>98</v>
      </c>
      <c r="N5" s="16"/>
      <c r="O5" s="8" t="s">
        <v>61</v>
      </c>
      <c r="P5" s="3" t="s">
        <v>110</v>
      </c>
      <c r="Q5" s="3" t="s">
        <v>109</v>
      </c>
      <c r="R5" s="3" t="s">
        <v>108</v>
      </c>
      <c r="S5" s="16"/>
      <c r="T5" s="5" t="s">
        <v>12</v>
      </c>
      <c r="U5" t="s">
        <v>113</v>
      </c>
      <c r="V5" t="s">
        <v>114</v>
      </c>
      <c r="W5" s="12"/>
      <c r="X5" s="16"/>
      <c r="Y5" s="16"/>
      <c r="Z5" s="16"/>
      <c r="AA5" s="16"/>
      <c r="AB5" s="16"/>
      <c r="AC5" s="16"/>
    </row>
    <row r="6" spans="1:29" x14ac:dyDescent="0.25">
      <c r="A6" s="5" t="s">
        <v>100</v>
      </c>
      <c r="B6" t="s">
        <v>21</v>
      </c>
      <c r="C6" t="s">
        <v>22</v>
      </c>
      <c r="D6" t="s">
        <v>20</v>
      </c>
      <c r="E6" s="10" t="s">
        <v>101</v>
      </c>
      <c r="F6" s="12"/>
      <c r="G6" s="7" t="s">
        <v>20</v>
      </c>
      <c r="H6" s="2">
        <v>97.842500000000001</v>
      </c>
      <c r="I6" s="2">
        <v>100.3425</v>
      </c>
      <c r="J6" s="12"/>
      <c r="K6" s="5" t="s">
        <v>12</v>
      </c>
      <c r="L6" t="s">
        <v>83</v>
      </c>
      <c r="M6" t="s">
        <v>78</v>
      </c>
      <c r="N6" s="12"/>
      <c r="O6" s="7" t="s">
        <v>70</v>
      </c>
      <c r="P6">
        <v>1.75</v>
      </c>
      <c r="Q6">
        <v>28</v>
      </c>
      <c r="R6" s="9">
        <v>2149.3825000000002</v>
      </c>
      <c r="S6" s="12"/>
      <c r="T6" s="6">
        <v>46113</v>
      </c>
      <c r="U6">
        <v>334</v>
      </c>
      <c r="V6">
        <v>0.3</v>
      </c>
      <c r="W6" s="12"/>
      <c r="X6" s="12"/>
      <c r="Y6" s="12"/>
      <c r="Z6" s="12"/>
      <c r="AA6" s="12"/>
      <c r="AB6" s="12"/>
      <c r="AC6" s="12"/>
    </row>
    <row r="7" spans="1:29" x14ac:dyDescent="0.25">
      <c r="A7" s="7" t="s">
        <v>31</v>
      </c>
      <c r="B7" s="2">
        <v>5.37</v>
      </c>
      <c r="C7" s="2">
        <v>5.54</v>
      </c>
      <c r="D7" s="2">
        <v>5.0750000000000002</v>
      </c>
      <c r="E7" s="11">
        <f>($C7-$D7)/$D7*100</f>
        <v>9.1625615763546762</v>
      </c>
      <c r="F7" s="12"/>
      <c r="G7" s="7" t="s">
        <v>21</v>
      </c>
      <c r="H7" s="2">
        <v>110.72666666666667</v>
      </c>
      <c r="I7" s="2">
        <v>113.22666666666667</v>
      </c>
      <c r="J7" s="12"/>
      <c r="K7" s="6">
        <v>46113</v>
      </c>
      <c r="L7" s="2">
        <v>-0.4</v>
      </c>
      <c r="M7" s="2">
        <v>-0.75</v>
      </c>
      <c r="N7" s="12"/>
      <c r="O7" s="7" t="s">
        <v>69</v>
      </c>
      <c r="P7">
        <v>1.75</v>
      </c>
      <c r="Q7">
        <v>28</v>
      </c>
      <c r="R7" s="9">
        <v>2347.3812499999999</v>
      </c>
      <c r="S7" s="12"/>
      <c r="T7" s="6">
        <v>46114</v>
      </c>
      <c r="U7">
        <v>666</v>
      </c>
      <c r="V7">
        <v>0.22</v>
      </c>
      <c r="W7" s="12"/>
      <c r="X7" s="12"/>
      <c r="Y7" s="12"/>
      <c r="Z7" s="12"/>
      <c r="AA7" s="12"/>
      <c r="AB7" s="12"/>
      <c r="AC7" s="12"/>
    </row>
    <row r="8" spans="1:29" x14ac:dyDescent="0.25">
      <c r="A8" s="7" t="s">
        <v>29</v>
      </c>
      <c r="B8" s="2">
        <v>5.13</v>
      </c>
      <c r="C8" s="2">
        <v>5.27</v>
      </c>
      <c r="D8" s="2">
        <v>4.8849999999999998</v>
      </c>
      <c r="E8" s="11">
        <f t="shared" ref="E8:E18" si="0">($C8-$D8)/$D8*100</f>
        <v>7.8812691914022475</v>
      </c>
      <c r="F8" s="12"/>
      <c r="G8" s="7" t="s">
        <v>22</v>
      </c>
      <c r="H8" s="2">
        <v>112.4</v>
      </c>
      <c r="I8" s="2">
        <v>114.9</v>
      </c>
      <c r="J8" s="12"/>
      <c r="K8" s="6">
        <v>46114</v>
      </c>
      <c r="L8" s="2">
        <v>-0.72499999999999998</v>
      </c>
      <c r="M8" s="2">
        <v>0.33</v>
      </c>
      <c r="N8" s="12"/>
      <c r="O8" s="7" t="s">
        <v>67</v>
      </c>
      <c r="P8">
        <v>1.75</v>
      </c>
      <c r="Q8">
        <v>28</v>
      </c>
      <c r="R8" s="9">
        <v>2118.915</v>
      </c>
      <c r="S8" s="12"/>
      <c r="T8" s="6">
        <v>46115</v>
      </c>
      <c r="U8">
        <v>914</v>
      </c>
      <c r="V8">
        <v>0.14000000000000001</v>
      </c>
      <c r="W8" s="12"/>
      <c r="X8" s="12"/>
      <c r="Y8" s="12"/>
      <c r="Z8" s="12"/>
      <c r="AA8" s="12"/>
      <c r="AB8" s="12"/>
      <c r="AC8" s="12"/>
    </row>
    <row r="9" spans="1:29" x14ac:dyDescent="0.25">
      <c r="A9" s="7" t="s">
        <v>30</v>
      </c>
      <c r="B9" s="2">
        <v>3.3966666666666669</v>
      </c>
      <c r="C9" s="2">
        <v>3.5</v>
      </c>
      <c r="D9" s="2">
        <v>3.2050000000000001</v>
      </c>
      <c r="E9" s="11">
        <f t="shared" si="0"/>
        <v>9.2043681747269872</v>
      </c>
      <c r="F9" s="12"/>
      <c r="G9" s="12"/>
      <c r="H9" s="12"/>
      <c r="I9" s="12"/>
      <c r="J9" s="12"/>
      <c r="K9" s="6">
        <v>46115</v>
      </c>
      <c r="L9" s="2">
        <v>-1.0549999999999999</v>
      </c>
      <c r="M9" s="2">
        <v>1.4125000000000001</v>
      </c>
      <c r="N9" s="12"/>
      <c r="O9" s="7" t="s">
        <v>68</v>
      </c>
      <c r="P9">
        <v>1.75</v>
      </c>
      <c r="Q9">
        <v>28</v>
      </c>
      <c r="R9" s="9">
        <v>2290.41</v>
      </c>
      <c r="S9" s="12"/>
      <c r="T9" s="6">
        <v>46116</v>
      </c>
      <c r="U9">
        <v>1256</v>
      </c>
      <c r="V9">
        <v>0.06</v>
      </c>
      <c r="W9" s="12"/>
      <c r="X9" s="12"/>
      <c r="Y9" s="12"/>
      <c r="Z9" s="12"/>
      <c r="AA9" s="12"/>
      <c r="AB9" s="12"/>
      <c r="AC9" s="12"/>
    </row>
    <row r="10" spans="1:29" x14ac:dyDescent="0.25">
      <c r="A10" s="7" t="s">
        <v>27</v>
      </c>
      <c r="B10" s="2">
        <v>5.5333333333333341</v>
      </c>
      <c r="C10" s="2">
        <v>5.7</v>
      </c>
      <c r="D10" s="2">
        <v>5.2450000000000001</v>
      </c>
      <c r="E10" s="11">
        <f t="shared" si="0"/>
        <v>8.6749285033365133</v>
      </c>
      <c r="F10" s="12"/>
      <c r="G10" s="12"/>
      <c r="H10" s="12"/>
      <c r="I10" s="12"/>
      <c r="J10" s="12"/>
      <c r="K10" s="6">
        <v>46116</v>
      </c>
      <c r="L10" s="2">
        <v>-1.375</v>
      </c>
      <c r="M10" s="2">
        <v>2.4925000000000002</v>
      </c>
      <c r="N10" s="12"/>
      <c r="O10" s="12"/>
      <c r="P10" s="12"/>
      <c r="Q10" s="12"/>
      <c r="R10" s="12"/>
      <c r="S10" s="12"/>
      <c r="T10" s="6">
        <v>46117</v>
      </c>
      <c r="U10">
        <v>1542</v>
      </c>
      <c r="V10">
        <v>-0.02</v>
      </c>
      <c r="W10" s="12"/>
      <c r="X10" s="12"/>
      <c r="Y10" s="12"/>
      <c r="Z10" s="12"/>
      <c r="AA10" s="12"/>
      <c r="AB10" s="12"/>
      <c r="AC10" s="12"/>
    </row>
    <row r="11" spans="1:29" ht="14.45" customHeight="1" x14ac:dyDescent="0.25">
      <c r="A11" s="7" t="s">
        <v>26</v>
      </c>
      <c r="B11" s="2">
        <v>6.2833333333333341</v>
      </c>
      <c r="C11" s="2">
        <v>6.44</v>
      </c>
      <c r="D11" s="2">
        <v>6.01</v>
      </c>
      <c r="E11" s="11">
        <f t="shared" si="0"/>
        <v>7.1547420965058341</v>
      </c>
      <c r="F11" s="12"/>
      <c r="G11" s="21" t="s">
        <v>102</v>
      </c>
      <c r="H11" s="21"/>
      <c r="I11" s="21"/>
      <c r="J11" s="13"/>
      <c r="K11" s="6">
        <v>46117</v>
      </c>
      <c r="L11" s="2">
        <v>-1.7000000000000002</v>
      </c>
      <c r="M11" s="2">
        <v>3.5749999999999997</v>
      </c>
      <c r="N11" s="12"/>
      <c r="O11" s="12"/>
      <c r="P11" s="12"/>
      <c r="Q11" s="12"/>
      <c r="R11" s="12"/>
      <c r="S11" s="12"/>
      <c r="T11" s="6">
        <v>46118</v>
      </c>
      <c r="U11">
        <v>1696</v>
      </c>
      <c r="V11">
        <v>-9.9999999999999992E-2</v>
      </c>
      <c r="W11" s="12"/>
      <c r="X11" s="12"/>
      <c r="Y11" s="12"/>
      <c r="Z11" s="12"/>
      <c r="AA11" s="12"/>
      <c r="AB11" s="12"/>
      <c r="AC11" s="12"/>
    </row>
    <row r="12" spans="1:29" ht="14.45" customHeight="1" x14ac:dyDescent="0.25">
      <c r="A12" s="7" t="s">
        <v>23</v>
      </c>
      <c r="B12" s="2">
        <v>106.55333333333333</v>
      </c>
      <c r="C12" s="2">
        <v>110.48</v>
      </c>
      <c r="D12" s="2">
        <v>99.67</v>
      </c>
      <c r="E12" s="11">
        <f t="shared" si="0"/>
        <v>10.845791110665196</v>
      </c>
      <c r="F12" s="12"/>
      <c r="G12" s="21"/>
      <c r="H12" s="21"/>
      <c r="I12" s="21"/>
      <c r="J12" s="13"/>
      <c r="K12" s="6">
        <v>46118</v>
      </c>
      <c r="L12" s="2">
        <v>-2.0249999999999999</v>
      </c>
      <c r="M12" s="2">
        <v>4.6550000000000002</v>
      </c>
      <c r="N12" s="12"/>
      <c r="O12" s="21" t="s">
        <v>111</v>
      </c>
      <c r="P12" s="21"/>
      <c r="Q12" s="21"/>
      <c r="R12" s="21"/>
      <c r="S12" s="12"/>
      <c r="T12" s="6">
        <v>46119</v>
      </c>
      <c r="U12">
        <v>1839</v>
      </c>
      <c r="V12">
        <v>-0.17999999999999997</v>
      </c>
      <c r="W12" s="12"/>
      <c r="X12" s="12"/>
      <c r="Y12" s="12"/>
      <c r="Z12" s="12"/>
      <c r="AA12" s="12"/>
      <c r="AB12" s="12"/>
      <c r="AC12" s="12"/>
    </row>
    <row r="13" spans="1:29" ht="14.45" customHeight="1" x14ac:dyDescent="0.25">
      <c r="A13" s="7" t="s">
        <v>28</v>
      </c>
      <c r="B13" s="2">
        <v>5.7566666666666668</v>
      </c>
      <c r="C13" s="2">
        <v>5.93</v>
      </c>
      <c r="D13" s="2">
        <v>5.4649999999999999</v>
      </c>
      <c r="E13" s="11">
        <f t="shared" si="0"/>
        <v>8.5086916742909402</v>
      </c>
      <c r="F13" s="12"/>
      <c r="G13" s="21"/>
      <c r="H13" s="21"/>
      <c r="I13" s="21"/>
      <c r="J13" s="13"/>
      <c r="K13" s="6">
        <v>46119</v>
      </c>
      <c r="L13" s="2">
        <v>-2.3499999999999996</v>
      </c>
      <c r="M13" s="2">
        <v>5.7349999999999994</v>
      </c>
      <c r="N13" s="12"/>
      <c r="O13" s="21"/>
      <c r="P13" s="21"/>
      <c r="Q13" s="21"/>
      <c r="R13" s="21"/>
      <c r="S13" s="12"/>
      <c r="T13" s="6">
        <v>46120</v>
      </c>
      <c r="U13">
        <v>2236</v>
      </c>
      <c r="V13">
        <v>-0.26</v>
      </c>
      <c r="W13" s="12"/>
      <c r="X13" s="12"/>
      <c r="Y13" s="12"/>
      <c r="Z13" s="12"/>
      <c r="AA13" s="12"/>
      <c r="AB13" s="12"/>
      <c r="AC13" s="12"/>
    </row>
    <row r="14" spans="1:29" ht="14.45" customHeight="1" x14ac:dyDescent="0.25">
      <c r="A14" s="7" t="s">
        <v>34</v>
      </c>
      <c r="B14" s="2">
        <v>106.52333333333333</v>
      </c>
      <c r="C14" s="2">
        <v>116.19</v>
      </c>
      <c r="D14" s="2">
        <v>89.594999999999999</v>
      </c>
      <c r="E14" s="11">
        <f t="shared" si="0"/>
        <v>29.683576092415869</v>
      </c>
      <c r="F14" s="12"/>
      <c r="G14" s="21"/>
      <c r="H14" s="21"/>
      <c r="I14" s="21"/>
      <c r="J14" s="13"/>
      <c r="K14" s="6">
        <v>46120</v>
      </c>
      <c r="L14" s="2">
        <v>-2.6749999999999998</v>
      </c>
      <c r="M14" s="2">
        <v>6.82</v>
      </c>
      <c r="N14" s="12"/>
      <c r="O14" s="21"/>
      <c r="P14" s="21"/>
      <c r="Q14" s="21"/>
      <c r="R14" s="21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14.45" customHeight="1" x14ac:dyDescent="0.25">
      <c r="A15" s="7" t="s">
        <v>33</v>
      </c>
      <c r="B15" s="2">
        <v>1.8466666666666667</v>
      </c>
      <c r="C15" s="2">
        <v>1.88</v>
      </c>
      <c r="D15" s="2">
        <v>1.8000000000000003</v>
      </c>
      <c r="E15" s="11">
        <f t="shared" si="0"/>
        <v>4.4444444444444233</v>
      </c>
      <c r="F15" s="12"/>
      <c r="G15" s="21"/>
      <c r="H15" s="21"/>
      <c r="I15" s="21"/>
      <c r="J15" s="13"/>
      <c r="K15" s="12"/>
      <c r="L15" s="12"/>
      <c r="M15" s="12"/>
      <c r="N15" s="12"/>
      <c r="O15" s="21"/>
      <c r="P15" s="21"/>
      <c r="Q15" s="21"/>
      <c r="R15" s="21"/>
      <c r="S15" s="12"/>
      <c r="T15" s="21" t="s">
        <v>115</v>
      </c>
      <c r="U15" s="21"/>
      <c r="V15" s="21"/>
      <c r="W15" s="12"/>
      <c r="X15" s="12"/>
      <c r="Y15" s="12"/>
      <c r="Z15" s="12"/>
      <c r="AA15" s="12"/>
      <c r="AB15" s="12"/>
      <c r="AC15" s="12"/>
    </row>
    <row r="16" spans="1:29" ht="14.45" customHeight="1" x14ac:dyDescent="0.25">
      <c r="A16" s="7" t="s">
        <v>32</v>
      </c>
      <c r="B16" s="2">
        <v>1.8933333333333333</v>
      </c>
      <c r="C16" s="2">
        <v>1.91</v>
      </c>
      <c r="D16" s="2">
        <v>1.865</v>
      </c>
      <c r="E16" s="11">
        <f t="shared" si="0"/>
        <v>2.4128686327077711</v>
      </c>
      <c r="F16" s="12"/>
      <c r="G16" s="12"/>
      <c r="H16" s="12"/>
      <c r="I16" s="12"/>
      <c r="J16" s="12"/>
      <c r="K16" s="21" t="s">
        <v>106</v>
      </c>
      <c r="L16" s="21"/>
      <c r="M16" s="21"/>
      <c r="N16" s="14"/>
      <c r="O16" s="12"/>
      <c r="P16" s="12"/>
      <c r="Q16" s="12"/>
      <c r="R16" s="12"/>
      <c r="S16" s="12"/>
      <c r="T16" s="21"/>
      <c r="U16" s="21"/>
      <c r="V16" s="21"/>
      <c r="W16" s="12"/>
      <c r="X16" s="12"/>
      <c r="Y16" s="12"/>
      <c r="Z16" s="12"/>
      <c r="AA16" s="12"/>
      <c r="AB16" s="12"/>
      <c r="AC16" s="12"/>
    </row>
    <row r="17" spans="1:29" ht="14.45" customHeight="1" x14ac:dyDescent="0.25">
      <c r="A17" s="7" t="s">
        <v>25</v>
      </c>
      <c r="B17" s="2">
        <v>5.8933333333333335</v>
      </c>
      <c r="C17" s="2">
        <v>6.08</v>
      </c>
      <c r="D17" s="2">
        <v>5.5625</v>
      </c>
      <c r="E17" s="11">
        <f t="shared" si="0"/>
        <v>9.3033707865168562</v>
      </c>
      <c r="F17" s="12"/>
      <c r="G17" s="12"/>
      <c r="H17" s="12"/>
      <c r="I17" s="12"/>
      <c r="J17" s="12"/>
      <c r="K17" s="21"/>
      <c r="L17" s="21"/>
      <c r="M17" s="21"/>
      <c r="N17" s="14"/>
      <c r="O17" s="12"/>
      <c r="P17" s="12"/>
      <c r="Q17" s="12"/>
      <c r="R17" s="12"/>
      <c r="S17" s="12"/>
      <c r="T17" s="21"/>
      <c r="U17" s="21"/>
      <c r="V17" s="21"/>
      <c r="W17" s="12"/>
      <c r="X17" s="12"/>
      <c r="Y17" s="12"/>
      <c r="Z17" s="12"/>
      <c r="AA17" s="12"/>
      <c r="AB17" s="12"/>
      <c r="AC17" s="12"/>
    </row>
    <row r="18" spans="1:29" ht="14.45" customHeight="1" x14ac:dyDescent="0.25">
      <c r="A18" s="7" t="s">
        <v>18</v>
      </c>
      <c r="B18" s="2">
        <v>3.7266666666666666</v>
      </c>
      <c r="C18" s="2">
        <v>3.83</v>
      </c>
      <c r="D18" s="2">
        <v>3.5350000000000001</v>
      </c>
      <c r="E18" s="11">
        <f t="shared" si="0"/>
        <v>8.3451202263083424</v>
      </c>
      <c r="F18" s="12"/>
      <c r="G18" s="12"/>
      <c r="H18" s="12"/>
      <c r="I18" s="12"/>
      <c r="J18" s="12"/>
      <c r="K18" s="21"/>
      <c r="L18" s="21"/>
      <c r="M18" s="21"/>
      <c r="N18" s="14"/>
      <c r="O18" s="12"/>
      <c r="P18" s="12"/>
      <c r="Q18" s="12"/>
      <c r="R18" s="12"/>
      <c r="S18" s="12"/>
      <c r="T18" s="21"/>
      <c r="U18" s="21"/>
      <c r="V18" s="21"/>
      <c r="W18" s="12"/>
      <c r="X18" s="12"/>
      <c r="Y18" s="12"/>
      <c r="Z18" s="12"/>
      <c r="AA18" s="12"/>
      <c r="AB18" s="12"/>
      <c r="AC18" s="12"/>
    </row>
    <row r="19" spans="1:29" ht="14.4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21"/>
      <c r="L19" s="21"/>
      <c r="M19" s="21"/>
      <c r="N19" s="14"/>
      <c r="O19" s="12"/>
      <c r="P19" s="12"/>
      <c r="Q19" s="12"/>
      <c r="R19" s="12"/>
      <c r="S19" s="12"/>
      <c r="T19" s="21"/>
      <c r="U19" s="21"/>
      <c r="V19" s="21"/>
      <c r="W19" s="12"/>
      <c r="X19" s="12"/>
      <c r="Y19" s="12"/>
      <c r="Z19" s="12"/>
      <c r="AA19" s="12"/>
      <c r="AB19" s="12"/>
      <c r="AC19" s="12"/>
    </row>
    <row r="20" spans="1:29" ht="14.45" customHeight="1" x14ac:dyDescent="0.25">
      <c r="A20" s="21" t="s">
        <v>103</v>
      </c>
      <c r="B20" s="21"/>
      <c r="C20" s="21"/>
      <c r="D20" s="21"/>
      <c r="E20" s="21"/>
      <c r="F20" s="12"/>
      <c r="G20" s="12"/>
      <c r="H20" s="12"/>
      <c r="I20" s="12"/>
      <c r="J20" s="12"/>
      <c r="K20" s="21"/>
      <c r="L20" s="21"/>
      <c r="M20" s="21"/>
      <c r="N20" s="14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4.45" customHeight="1" x14ac:dyDescent="0.25">
      <c r="A21" s="21"/>
      <c r="B21" s="21"/>
      <c r="C21" s="21"/>
      <c r="D21" s="21"/>
      <c r="E21" s="21"/>
      <c r="F21" s="12"/>
      <c r="G21" s="12"/>
      <c r="H21" s="12"/>
      <c r="I21" s="12"/>
      <c r="J21" s="12"/>
      <c r="K21" s="21"/>
      <c r="L21" s="21"/>
      <c r="M21" s="21"/>
      <c r="N21" s="14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4.45" customHeight="1" x14ac:dyDescent="0.25">
      <c r="A22" s="21"/>
      <c r="B22" s="21"/>
      <c r="C22" s="21"/>
      <c r="D22" s="21"/>
      <c r="E22" s="21"/>
      <c r="F22" s="12"/>
      <c r="G22" s="12"/>
      <c r="H22" s="12"/>
      <c r="I22" s="12"/>
      <c r="J22" s="12"/>
      <c r="K22" s="14"/>
      <c r="L22" s="14"/>
      <c r="M22" s="14"/>
      <c r="N22" s="14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14.45" customHeight="1" x14ac:dyDescent="0.25">
      <c r="A23" s="21"/>
      <c r="B23" s="21"/>
      <c r="C23" s="21"/>
      <c r="D23" s="21"/>
      <c r="E23" s="2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14.45" customHeight="1" x14ac:dyDescent="0.25">
      <c r="A24" s="21"/>
      <c r="B24" s="21"/>
      <c r="C24" s="21"/>
      <c r="D24" s="21"/>
      <c r="E24" s="2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4.45" customHeight="1" x14ac:dyDescent="0.25">
      <c r="A25" s="21"/>
      <c r="B25" s="21"/>
      <c r="C25" s="21"/>
      <c r="D25" s="21"/>
      <c r="E25" s="2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x14ac:dyDescent="0.25">
      <c r="A26" s="21"/>
      <c r="B26" s="21"/>
      <c r="C26" s="21"/>
      <c r="D26" s="21"/>
      <c r="E26" s="2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</sheetData>
  <mergeCells count="15">
    <mergeCell ref="A2:D2"/>
    <mergeCell ref="G2:I2"/>
    <mergeCell ref="K4:M4"/>
    <mergeCell ref="G11:I15"/>
    <mergeCell ref="K16:M21"/>
    <mergeCell ref="A4:C4"/>
    <mergeCell ref="G4:I4"/>
    <mergeCell ref="A20:E26"/>
    <mergeCell ref="K2:M2"/>
    <mergeCell ref="O2:R2"/>
    <mergeCell ref="T2:V2"/>
    <mergeCell ref="T4:V4"/>
    <mergeCell ref="T15:V19"/>
    <mergeCell ref="O4:Q4"/>
    <mergeCell ref="O12:R15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1747-37B6-40EE-B131-373C71256D64}">
  <dimension ref="A1:S28"/>
  <sheetViews>
    <sheetView zoomScale="130" zoomScaleNormal="130" workbookViewId="0">
      <selection activeCell="P15" sqref="P15"/>
    </sheetView>
  </sheetViews>
  <sheetFormatPr defaultRowHeight="15" x14ac:dyDescent="0.25"/>
  <sheetData>
    <row r="1" spans="1:19" x14ac:dyDescent="0.25">
      <c r="A1" s="12"/>
      <c r="B1" s="23" t="s">
        <v>122</v>
      </c>
      <c r="C1" s="24"/>
      <c r="D1" s="24"/>
      <c r="E1" s="24"/>
      <c r="F1" s="24"/>
      <c r="G1" s="24"/>
      <c r="H1" s="2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25">
      <c r="A2" s="12"/>
      <c r="B2" s="24"/>
      <c r="C2" s="24"/>
      <c r="D2" s="24"/>
      <c r="E2" s="24"/>
      <c r="F2" s="24"/>
      <c r="G2" s="24"/>
      <c r="H2" s="24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23.25" x14ac:dyDescent="0.35">
      <c r="A4" s="12"/>
      <c r="B4" s="22" t="s">
        <v>126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2"/>
      <c r="R4" s="12"/>
      <c r="S4" s="12"/>
    </row>
    <row r="5" spans="1:19" ht="23.25" x14ac:dyDescent="0.35">
      <c r="A5" s="12"/>
      <c r="B5" s="22" t="s">
        <v>123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12"/>
      <c r="R5" s="12"/>
      <c r="S5" s="12"/>
    </row>
    <row r="6" spans="1:19" ht="23.25" x14ac:dyDescent="0.35">
      <c r="A6" s="12"/>
      <c r="B6" s="22" t="s">
        <v>124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12"/>
      <c r="R6" s="12"/>
      <c r="S6" s="12"/>
    </row>
    <row r="7" spans="1:19" ht="23.25" x14ac:dyDescent="0.35">
      <c r="A7" s="12"/>
      <c r="B7" s="22" t="s">
        <v>127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12"/>
      <c r="R7" s="12"/>
      <c r="S7" s="12"/>
    </row>
    <row r="8" spans="1:19" ht="23.25" x14ac:dyDescent="0.35">
      <c r="A8" s="12"/>
      <c r="B8" s="22" t="s">
        <v>125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12"/>
      <c r="R8" s="12"/>
      <c r="S8" s="12"/>
    </row>
    <row r="9" spans="1:19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</sheetData>
  <mergeCells count="6">
    <mergeCell ref="B1:H2"/>
    <mergeCell ref="B8:P8"/>
    <mergeCell ref="B6:P6"/>
    <mergeCell ref="B4:P4"/>
    <mergeCell ref="B5:P5"/>
    <mergeCell ref="B7:P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A113-F0B5-4504-8192-0ACA45F91C28}">
  <dimension ref="A1:F97"/>
  <sheetViews>
    <sheetView workbookViewId="0">
      <selection activeCell="C1" sqref="C1"/>
    </sheetView>
  </sheetViews>
  <sheetFormatPr defaultRowHeight="15" x14ac:dyDescent="0.25"/>
  <cols>
    <col min="1" max="1" width="10.28515625" bestFit="1" customWidth="1"/>
    <col min="3" max="3" width="22.42578125" bestFit="1" customWidth="1"/>
    <col min="5" max="5" width="20.42578125" bestFit="1" customWidth="1"/>
    <col min="6" max="6" width="13.2851562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s="1">
        <v>46113</v>
      </c>
      <c r="B2" t="s">
        <v>18</v>
      </c>
      <c r="C2">
        <v>3.45</v>
      </c>
      <c r="D2" t="s">
        <v>19</v>
      </c>
      <c r="E2">
        <v>0</v>
      </c>
      <c r="F2" t="s">
        <v>20</v>
      </c>
    </row>
    <row r="3" spans="1:6" x14ac:dyDescent="0.25">
      <c r="A3" s="1">
        <v>46114</v>
      </c>
      <c r="B3" t="s">
        <v>18</v>
      </c>
      <c r="C3">
        <v>3.51</v>
      </c>
      <c r="D3" t="s">
        <v>19</v>
      </c>
      <c r="E3">
        <v>1</v>
      </c>
      <c r="F3" t="s">
        <v>20</v>
      </c>
    </row>
    <row r="4" spans="1:6" x14ac:dyDescent="0.25">
      <c r="A4" s="1">
        <v>46115</v>
      </c>
      <c r="B4" t="s">
        <v>18</v>
      </c>
      <c r="C4">
        <v>3.56</v>
      </c>
      <c r="D4" t="s">
        <v>19</v>
      </c>
      <c r="E4">
        <v>2</v>
      </c>
      <c r="F4" t="s">
        <v>20</v>
      </c>
    </row>
    <row r="5" spans="1:6" x14ac:dyDescent="0.25">
      <c r="A5" s="1">
        <v>46116</v>
      </c>
      <c r="B5" t="s">
        <v>18</v>
      </c>
      <c r="C5">
        <v>3.62</v>
      </c>
      <c r="D5" t="s">
        <v>19</v>
      </c>
      <c r="E5">
        <v>3</v>
      </c>
      <c r="F5" t="s">
        <v>20</v>
      </c>
    </row>
    <row r="6" spans="1:6" x14ac:dyDescent="0.25">
      <c r="A6" s="1">
        <v>46117</v>
      </c>
      <c r="B6" t="s">
        <v>18</v>
      </c>
      <c r="C6">
        <v>3.67</v>
      </c>
      <c r="D6" t="s">
        <v>19</v>
      </c>
      <c r="E6">
        <v>4</v>
      </c>
      <c r="F6" t="s">
        <v>21</v>
      </c>
    </row>
    <row r="7" spans="1:6" x14ac:dyDescent="0.25">
      <c r="A7" s="1">
        <v>46118</v>
      </c>
      <c r="B7" t="s">
        <v>18</v>
      </c>
      <c r="C7">
        <v>3.73</v>
      </c>
      <c r="D7" t="s">
        <v>19</v>
      </c>
      <c r="E7">
        <v>5</v>
      </c>
      <c r="F7" t="s">
        <v>21</v>
      </c>
    </row>
    <row r="8" spans="1:6" x14ac:dyDescent="0.25">
      <c r="A8" s="1">
        <v>46119</v>
      </c>
      <c r="B8" t="s">
        <v>18</v>
      </c>
      <c r="C8">
        <v>3.78</v>
      </c>
      <c r="D8" t="s">
        <v>19</v>
      </c>
      <c r="E8">
        <v>6</v>
      </c>
      <c r="F8" t="s">
        <v>21</v>
      </c>
    </row>
    <row r="9" spans="1:6" x14ac:dyDescent="0.25">
      <c r="A9" s="1">
        <v>46120</v>
      </c>
      <c r="B9" t="s">
        <v>18</v>
      </c>
      <c r="C9">
        <v>3.83</v>
      </c>
      <c r="D9" t="s">
        <v>19</v>
      </c>
      <c r="E9">
        <v>7</v>
      </c>
      <c r="F9" t="s">
        <v>22</v>
      </c>
    </row>
    <row r="10" spans="1:6" x14ac:dyDescent="0.25">
      <c r="A10" s="1">
        <v>46113</v>
      </c>
      <c r="B10" t="s">
        <v>23</v>
      </c>
      <c r="C10">
        <v>96.72</v>
      </c>
      <c r="D10" t="s">
        <v>24</v>
      </c>
      <c r="E10">
        <v>0</v>
      </c>
      <c r="F10" t="s">
        <v>20</v>
      </c>
    </row>
    <row r="11" spans="1:6" x14ac:dyDescent="0.25">
      <c r="A11" s="1">
        <v>46114</v>
      </c>
      <c r="B11" t="s">
        <v>23</v>
      </c>
      <c r="C11">
        <v>98.69</v>
      </c>
      <c r="D11" t="s">
        <v>24</v>
      </c>
      <c r="E11">
        <v>1</v>
      </c>
      <c r="F11" t="s">
        <v>20</v>
      </c>
    </row>
    <row r="12" spans="1:6" x14ac:dyDescent="0.25">
      <c r="A12" s="1">
        <v>46115</v>
      </c>
      <c r="B12" t="s">
        <v>23</v>
      </c>
      <c r="C12">
        <v>100.65</v>
      </c>
      <c r="D12" t="s">
        <v>24</v>
      </c>
      <c r="E12">
        <v>2</v>
      </c>
      <c r="F12" t="s">
        <v>20</v>
      </c>
    </row>
    <row r="13" spans="1:6" x14ac:dyDescent="0.25">
      <c r="A13" s="1">
        <v>46116</v>
      </c>
      <c r="B13" t="s">
        <v>23</v>
      </c>
      <c r="C13">
        <v>102.62</v>
      </c>
      <c r="D13" t="s">
        <v>24</v>
      </c>
      <c r="E13">
        <v>3</v>
      </c>
      <c r="F13" t="s">
        <v>20</v>
      </c>
    </row>
    <row r="14" spans="1:6" x14ac:dyDescent="0.25">
      <c r="A14" s="1">
        <v>46117</v>
      </c>
      <c r="B14" t="s">
        <v>23</v>
      </c>
      <c r="C14">
        <v>104.59</v>
      </c>
      <c r="D14" t="s">
        <v>24</v>
      </c>
      <c r="E14">
        <v>4</v>
      </c>
      <c r="F14" t="s">
        <v>21</v>
      </c>
    </row>
    <row r="15" spans="1:6" x14ac:dyDescent="0.25">
      <c r="A15" s="1">
        <v>46118</v>
      </c>
      <c r="B15" t="s">
        <v>23</v>
      </c>
      <c r="C15">
        <v>106.55</v>
      </c>
      <c r="D15" t="s">
        <v>24</v>
      </c>
      <c r="E15">
        <v>5</v>
      </c>
      <c r="F15" t="s">
        <v>21</v>
      </c>
    </row>
    <row r="16" spans="1:6" x14ac:dyDescent="0.25">
      <c r="A16" s="1">
        <v>46119</v>
      </c>
      <c r="B16" t="s">
        <v>23</v>
      </c>
      <c r="C16">
        <v>108.52</v>
      </c>
      <c r="D16" t="s">
        <v>24</v>
      </c>
      <c r="E16">
        <v>6</v>
      </c>
      <c r="F16" t="s">
        <v>21</v>
      </c>
    </row>
    <row r="17" spans="1:6" x14ac:dyDescent="0.25">
      <c r="A17" s="1">
        <v>46120</v>
      </c>
      <c r="B17" t="s">
        <v>23</v>
      </c>
      <c r="C17">
        <v>110.48</v>
      </c>
      <c r="D17" t="s">
        <v>24</v>
      </c>
      <c r="E17">
        <v>7</v>
      </c>
      <c r="F17" t="s">
        <v>22</v>
      </c>
    </row>
    <row r="18" spans="1:6" x14ac:dyDescent="0.25">
      <c r="A18" s="1">
        <v>46113</v>
      </c>
      <c r="B18" t="s">
        <v>25</v>
      </c>
      <c r="C18">
        <v>5.42</v>
      </c>
      <c r="D18" t="s">
        <v>19</v>
      </c>
      <c r="E18">
        <v>0</v>
      </c>
      <c r="F18" t="s">
        <v>20</v>
      </c>
    </row>
    <row r="19" spans="1:6" x14ac:dyDescent="0.25">
      <c r="A19" s="1">
        <v>46114</v>
      </c>
      <c r="B19" t="s">
        <v>25</v>
      </c>
      <c r="C19">
        <v>5.51</v>
      </c>
      <c r="D19" t="s">
        <v>19</v>
      </c>
      <c r="E19">
        <v>1</v>
      </c>
      <c r="F19" t="s">
        <v>20</v>
      </c>
    </row>
    <row r="20" spans="1:6" x14ac:dyDescent="0.25">
      <c r="A20" s="1">
        <v>46115</v>
      </c>
      <c r="B20" t="s">
        <v>25</v>
      </c>
      <c r="C20">
        <v>5.61</v>
      </c>
      <c r="D20" t="s">
        <v>19</v>
      </c>
      <c r="E20">
        <v>2</v>
      </c>
      <c r="F20" t="s">
        <v>20</v>
      </c>
    </row>
    <row r="21" spans="1:6" x14ac:dyDescent="0.25">
      <c r="A21" s="1">
        <v>46116</v>
      </c>
      <c r="B21" t="s">
        <v>25</v>
      </c>
      <c r="C21">
        <v>5.71</v>
      </c>
      <c r="D21" t="s">
        <v>19</v>
      </c>
      <c r="E21">
        <v>3</v>
      </c>
      <c r="F21" t="s">
        <v>20</v>
      </c>
    </row>
    <row r="22" spans="1:6" x14ac:dyDescent="0.25">
      <c r="A22" s="1">
        <v>46117</v>
      </c>
      <c r="B22" t="s">
        <v>25</v>
      </c>
      <c r="C22">
        <v>5.8</v>
      </c>
      <c r="D22" t="s">
        <v>19</v>
      </c>
      <c r="E22">
        <v>4</v>
      </c>
      <c r="F22" t="s">
        <v>21</v>
      </c>
    </row>
    <row r="23" spans="1:6" x14ac:dyDescent="0.25">
      <c r="A23" s="1">
        <v>46118</v>
      </c>
      <c r="B23" t="s">
        <v>25</v>
      </c>
      <c r="C23">
        <v>5.89</v>
      </c>
      <c r="D23" t="s">
        <v>19</v>
      </c>
      <c r="E23">
        <v>5</v>
      </c>
      <c r="F23" t="s">
        <v>21</v>
      </c>
    </row>
    <row r="24" spans="1:6" x14ac:dyDescent="0.25">
      <c r="A24" s="1">
        <v>46119</v>
      </c>
      <c r="B24" t="s">
        <v>25</v>
      </c>
      <c r="C24">
        <v>5.99</v>
      </c>
      <c r="D24" t="s">
        <v>19</v>
      </c>
      <c r="E24">
        <v>6</v>
      </c>
      <c r="F24" t="s">
        <v>21</v>
      </c>
    </row>
    <row r="25" spans="1:6" x14ac:dyDescent="0.25">
      <c r="A25" s="1">
        <v>46120</v>
      </c>
      <c r="B25" t="s">
        <v>25</v>
      </c>
      <c r="C25">
        <v>6.08</v>
      </c>
      <c r="D25" t="s">
        <v>19</v>
      </c>
      <c r="E25">
        <v>7</v>
      </c>
      <c r="F25" t="s">
        <v>22</v>
      </c>
    </row>
    <row r="26" spans="1:6" x14ac:dyDescent="0.25">
      <c r="A26" s="1">
        <v>46113</v>
      </c>
      <c r="B26" t="s">
        <v>26</v>
      </c>
      <c r="C26">
        <v>5.89</v>
      </c>
      <c r="D26" t="s">
        <v>19</v>
      </c>
      <c r="E26">
        <v>0</v>
      </c>
      <c r="F26" t="s">
        <v>20</v>
      </c>
    </row>
    <row r="27" spans="1:6" x14ac:dyDescent="0.25">
      <c r="A27" s="1">
        <v>46114</v>
      </c>
      <c r="B27" t="s">
        <v>26</v>
      </c>
      <c r="C27">
        <v>5.97</v>
      </c>
      <c r="D27" t="s">
        <v>19</v>
      </c>
      <c r="E27">
        <v>1</v>
      </c>
      <c r="F27" t="s">
        <v>20</v>
      </c>
    </row>
    <row r="28" spans="1:6" x14ac:dyDescent="0.25">
      <c r="A28" s="1">
        <v>46115</v>
      </c>
      <c r="B28" t="s">
        <v>26</v>
      </c>
      <c r="C28">
        <v>6.05</v>
      </c>
      <c r="D28" t="s">
        <v>19</v>
      </c>
      <c r="E28">
        <v>2</v>
      </c>
      <c r="F28" t="s">
        <v>20</v>
      </c>
    </row>
    <row r="29" spans="1:6" x14ac:dyDescent="0.25">
      <c r="A29" s="1">
        <v>46116</v>
      </c>
      <c r="B29" t="s">
        <v>26</v>
      </c>
      <c r="C29">
        <v>6.13</v>
      </c>
      <c r="D29" t="s">
        <v>19</v>
      </c>
      <c r="E29">
        <v>3</v>
      </c>
      <c r="F29" t="s">
        <v>20</v>
      </c>
    </row>
    <row r="30" spans="1:6" x14ac:dyDescent="0.25">
      <c r="A30" s="1">
        <v>46117</v>
      </c>
      <c r="B30" t="s">
        <v>26</v>
      </c>
      <c r="C30">
        <v>6.21</v>
      </c>
      <c r="D30" t="s">
        <v>19</v>
      </c>
      <c r="E30">
        <v>4</v>
      </c>
      <c r="F30" t="s">
        <v>21</v>
      </c>
    </row>
    <row r="31" spans="1:6" x14ac:dyDescent="0.25">
      <c r="A31" s="1">
        <v>46118</v>
      </c>
      <c r="B31" t="s">
        <v>26</v>
      </c>
      <c r="C31">
        <v>6.28</v>
      </c>
      <c r="D31" t="s">
        <v>19</v>
      </c>
      <c r="E31">
        <v>5</v>
      </c>
      <c r="F31" t="s">
        <v>21</v>
      </c>
    </row>
    <row r="32" spans="1:6" x14ac:dyDescent="0.25">
      <c r="A32" s="1">
        <v>46119</v>
      </c>
      <c r="B32" t="s">
        <v>26</v>
      </c>
      <c r="C32">
        <v>6.36</v>
      </c>
      <c r="D32" t="s">
        <v>19</v>
      </c>
      <c r="E32">
        <v>6</v>
      </c>
      <c r="F32" t="s">
        <v>21</v>
      </c>
    </row>
    <row r="33" spans="1:6" x14ac:dyDescent="0.25">
      <c r="A33" s="1">
        <v>46120</v>
      </c>
      <c r="B33" t="s">
        <v>26</v>
      </c>
      <c r="C33">
        <v>6.44</v>
      </c>
      <c r="D33" t="s">
        <v>19</v>
      </c>
      <c r="E33">
        <v>7</v>
      </c>
      <c r="F33" t="s">
        <v>22</v>
      </c>
    </row>
    <row r="34" spans="1:6" x14ac:dyDescent="0.25">
      <c r="A34" s="1">
        <v>46113</v>
      </c>
      <c r="B34" t="s">
        <v>27</v>
      </c>
      <c r="C34">
        <v>5.12</v>
      </c>
      <c r="D34" t="s">
        <v>19</v>
      </c>
      <c r="E34">
        <v>0</v>
      </c>
      <c r="F34" t="s">
        <v>20</v>
      </c>
    </row>
    <row r="35" spans="1:6" x14ac:dyDescent="0.25">
      <c r="A35" s="1">
        <v>46114</v>
      </c>
      <c r="B35" t="s">
        <v>27</v>
      </c>
      <c r="C35">
        <v>5.2</v>
      </c>
      <c r="D35" t="s">
        <v>19</v>
      </c>
      <c r="E35">
        <v>1</v>
      </c>
      <c r="F35" t="s">
        <v>20</v>
      </c>
    </row>
    <row r="36" spans="1:6" x14ac:dyDescent="0.25">
      <c r="A36" s="1">
        <v>46115</v>
      </c>
      <c r="B36" t="s">
        <v>27</v>
      </c>
      <c r="C36">
        <v>5.29</v>
      </c>
      <c r="D36" t="s">
        <v>19</v>
      </c>
      <c r="E36">
        <v>2</v>
      </c>
      <c r="F36" t="s">
        <v>20</v>
      </c>
    </row>
    <row r="37" spans="1:6" x14ac:dyDescent="0.25">
      <c r="A37" s="1">
        <v>46116</v>
      </c>
      <c r="B37" t="s">
        <v>27</v>
      </c>
      <c r="C37">
        <v>5.37</v>
      </c>
      <c r="D37" t="s">
        <v>19</v>
      </c>
      <c r="E37">
        <v>3</v>
      </c>
      <c r="F37" t="s">
        <v>20</v>
      </c>
    </row>
    <row r="38" spans="1:6" x14ac:dyDescent="0.25">
      <c r="A38" s="1">
        <v>46117</v>
      </c>
      <c r="B38" t="s">
        <v>27</v>
      </c>
      <c r="C38">
        <v>5.45</v>
      </c>
      <c r="D38" t="s">
        <v>19</v>
      </c>
      <c r="E38">
        <v>4</v>
      </c>
      <c r="F38" t="s">
        <v>21</v>
      </c>
    </row>
    <row r="39" spans="1:6" x14ac:dyDescent="0.25">
      <c r="A39" s="1">
        <v>46118</v>
      </c>
      <c r="B39" t="s">
        <v>27</v>
      </c>
      <c r="C39">
        <v>5.53</v>
      </c>
      <c r="D39" t="s">
        <v>19</v>
      </c>
      <c r="E39">
        <v>5</v>
      </c>
      <c r="F39" t="s">
        <v>21</v>
      </c>
    </row>
    <row r="40" spans="1:6" x14ac:dyDescent="0.25">
      <c r="A40" s="1">
        <v>46119</v>
      </c>
      <c r="B40" t="s">
        <v>27</v>
      </c>
      <c r="C40">
        <v>5.62</v>
      </c>
      <c r="D40" t="s">
        <v>19</v>
      </c>
      <c r="E40">
        <v>6</v>
      </c>
      <c r="F40" t="s">
        <v>21</v>
      </c>
    </row>
    <row r="41" spans="1:6" x14ac:dyDescent="0.25">
      <c r="A41" s="1">
        <v>46120</v>
      </c>
      <c r="B41" t="s">
        <v>27</v>
      </c>
      <c r="C41">
        <v>5.7</v>
      </c>
      <c r="D41" t="s">
        <v>19</v>
      </c>
      <c r="E41">
        <v>7</v>
      </c>
      <c r="F41" t="s">
        <v>22</v>
      </c>
    </row>
    <row r="42" spans="1:6" x14ac:dyDescent="0.25">
      <c r="A42" s="1">
        <v>46113</v>
      </c>
      <c r="B42" t="s">
        <v>28</v>
      </c>
      <c r="C42">
        <v>5.34</v>
      </c>
      <c r="D42" t="s">
        <v>19</v>
      </c>
      <c r="E42">
        <v>0</v>
      </c>
      <c r="F42" t="s">
        <v>20</v>
      </c>
    </row>
    <row r="43" spans="1:6" x14ac:dyDescent="0.25">
      <c r="A43" s="1">
        <v>46114</v>
      </c>
      <c r="B43" t="s">
        <v>28</v>
      </c>
      <c r="C43">
        <v>5.42</v>
      </c>
      <c r="D43" t="s">
        <v>19</v>
      </c>
      <c r="E43">
        <v>1</v>
      </c>
      <c r="F43" t="s">
        <v>20</v>
      </c>
    </row>
    <row r="44" spans="1:6" x14ac:dyDescent="0.25">
      <c r="A44" s="1">
        <v>46115</v>
      </c>
      <c r="B44" t="s">
        <v>28</v>
      </c>
      <c r="C44">
        <v>5.51</v>
      </c>
      <c r="D44" t="s">
        <v>19</v>
      </c>
      <c r="E44">
        <v>2</v>
      </c>
      <c r="F44" t="s">
        <v>20</v>
      </c>
    </row>
    <row r="45" spans="1:6" x14ac:dyDescent="0.25">
      <c r="A45" s="1">
        <v>46116</v>
      </c>
      <c r="B45" t="s">
        <v>28</v>
      </c>
      <c r="C45">
        <v>5.59</v>
      </c>
      <c r="D45" t="s">
        <v>19</v>
      </c>
      <c r="E45">
        <v>3</v>
      </c>
      <c r="F45" t="s">
        <v>20</v>
      </c>
    </row>
    <row r="46" spans="1:6" x14ac:dyDescent="0.25">
      <c r="A46" s="1">
        <v>46117</v>
      </c>
      <c r="B46" t="s">
        <v>28</v>
      </c>
      <c r="C46">
        <v>5.67</v>
      </c>
      <c r="D46" t="s">
        <v>19</v>
      </c>
      <c r="E46">
        <v>4</v>
      </c>
      <c r="F46" t="s">
        <v>21</v>
      </c>
    </row>
    <row r="47" spans="1:6" x14ac:dyDescent="0.25">
      <c r="A47" s="1">
        <v>46118</v>
      </c>
      <c r="B47" t="s">
        <v>28</v>
      </c>
      <c r="C47">
        <v>5.76</v>
      </c>
      <c r="D47" t="s">
        <v>19</v>
      </c>
      <c r="E47">
        <v>5</v>
      </c>
      <c r="F47" t="s">
        <v>21</v>
      </c>
    </row>
    <row r="48" spans="1:6" x14ac:dyDescent="0.25">
      <c r="A48" s="1">
        <v>46119</v>
      </c>
      <c r="B48" t="s">
        <v>28</v>
      </c>
      <c r="C48">
        <v>5.84</v>
      </c>
      <c r="D48" t="s">
        <v>19</v>
      </c>
      <c r="E48">
        <v>6</v>
      </c>
      <c r="F48" t="s">
        <v>21</v>
      </c>
    </row>
    <row r="49" spans="1:6" x14ac:dyDescent="0.25">
      <c r="A49" s="1">
        <v>46120</v>
      </c>
      <c r="B49" t="s">
        <v>28</v>
      </c>
      <c r="C49">
        <v>5.93</v>
      </c>
      <c r="D49" t="s">
        <v>19</v>
      </c>
      <c r="E49">
        <v>7</v>
      </c>
      <c r="F49" t="s">
        <v>22</v>
      </c>
    </row>
    <row r="50" spans="1:6" x14ac:dyDescent="0.25">
      <c r="A50" s="1">
        <v>46113</v>
      </c>
      <c r="B50" t="s">
        <v>29</v>
      </c>
      <c r="C50">
        <v>4.78</v>
      </c>
      <c r="D50" t="s">
        <v>19</v>
      </c>
      <c r="E50">
        <v>0</v>
      </c>
      <c r="F50" t="s">
        <v>20</v>
      </c>
    </row>
    <row r="51" spans="1:6" x14ac:dyDescent="0.25">
      <c r="A51" s="1">
        <v>46114</v>
      </c>
      <c r="B51" t="s">
        <v>29</v>
      </c>
      <c r="C51">
        <v>4.8499999999999996</v>
      </c>
      <c r="D51" t="s">
        <v>19</v>
      </c>
      <c r="E51">
        <v>1</v>
      </c>
      <c r="F51" t="s">
        <v>20</v>
      </c>
    </row>
    <row r="52" spans="1:6" x14ac:dyDescent="0.25">
      <c r="A52" s="1">
        <v>46115</v>
      </c>
      <c r="B52" t="s">
        <v>29</v>
      </c>
      <c r="C52">
        <v>4.92</v>
      </c>
      <c r="D52" t="s">
        <v>19</v>
      </c>
      <c r="E52">
        <v>2</v>
      </c>
      <c r="F52" t="s">
        <v>20</v>
      </c>
    </row>
    <row r="53" spans="1:6" x14ac:dyDescent="0.25">
      <c r="A53" s="1">
        <v>46116</v>
      </c>
      <c r="B53" t="s">
        <v>29</v>
      </c>
      <c r="C53">
        <v>4.99</v>
      </c>
      <c r="D53" t="s">
        <v>19</v>
      </c>
      <c r="E53">
        <v>3</v>
      </c>
      <c r="F53" t="s">
        <v>20</v>
      </c>
    </row>
    <row r="54" spans="1:6" x14ac:dyDescent="0.25">
      <c r="A54" s="1">
        <v>46117</v>
      </c>
      <c r="B54" t="s">
        <v>29</v>
      </c>
      <c r="C54">
        <v>5.0599999999999996</v>
      </c>
      <c r="D54" t="s">
        <v>19</v>
      </c>
      <c r="E54">
        <v>4</v>
      </c>
      <c r="F54" t="s">
        <v>21</v>
      </c>
    </row>
    <row r="55" spans="1:6" x14ac:dyDescent="0.25">
      <c r="A55" s="1">
        <v>46118</v>
      </c>
      <c r="B55" t="s">
        <v>29</v>
      </c>
      <c r="C55">
        <v>5.13</v>
      </c>
      <c r="D55" t="s">
        <v>19</v>
      </c>
      <c r="E55">
        <v>5</v>
      </c>
      <c r="F55" t="s">
        <v>21</v>
      </c>
    </row>
    <row r="56" spans="1:6" x14ac:dyDescent="0.25">
      <c r="A56" s="1">
        <v>46119</v>
      </c>
      <c r="B56" t="s">
        <v>29</v>
      </c>
      <c r="C56">
        <v>5.2</v>
      </c>
      <c r="D56" t="s">
        <v>19</v>
      </c>
      <c r="E56">
        <v>6</v>
      </c>
      <c r="F56" t="s">
        <v>21</v>
      </c>
    </row>
    <row r="57" spans="1:6" x14ac:dyDescent="0.25">
      <c r="A57" s="1">
        <v>46120</v>
      </c>
      <c r="B57" t="s">
        <v>29</v>
      </c>
      <c r="C57">
        <v>5.27</v>
      </c>
      <c r="D57" t="s">
        <v>19</v>
      </c>
      <c r="E57">
        <v>7</v>
      </c>
      <c r="F57" t="s">
        <v>22</v>
      </c>
    </row>
    <row r="58" spans="1:6" x14ac:dyDescent="0.25">
      <c r="A58" s="1">
        <v>46113</v>
      </c>
      <c r="B58" t="s">
        <v>30</v>
      </c>
      <c r="C58">
        <v>3.12</v>
      </c>
      <c r="D58" t="s">
        <v>19</v>
      </c>
      <c r="E58">
        <v>0</v>
      </c>
      <c r="F58" t="s">
        <v>20</v>
      </c>
    </row>
    <row r="59" spans="1:6" x14ac:dyDescent="0.25">
      <c r="A59" s="1">
        <v>46114</v>
      </c>
      <c r="B59" t="s">
        <v>30</v>
      </c>
      <c r="C59">
        <v>3.18</v>
      </c>
      <c r="D59" t="s">
        <v>19</v>
      </c>
      <c r="E59">
        <v>1</v>
      </c>
      <c r="F59" t="s">
        <v>20</v>
      </c>
    </row>
    <row r="60" spans="1:6" x14ac:dyDescent="0.25">
      <c r="A60" s="1">
        <v>46115</v>
      </c>
      <c r="B60" t="s">
        <v>30</v>
      </c>
      <c r="C60">
        <v>3.23</v>
      </c>
      <c r="D60" t="s">
        <v>19</v>
      </c>
      <c r="E60">
        <v>2</v>
      </c>
      <c r="F60" t="s">
        <v>20</v>
      </c>
    </row>
    <row r="61" spans="1:6" x14ac:dyDescent="0.25">
      <c r="A61" s="1">
        <v>46116</v>
      </c>
      <c r="B61" t="s">
        <v>30</v>
      </c>
      <c r="C61">
        <v>3.29</v>
      </c>
      <c r="D61" t="s">
        <v>19</v>
      </c>
      <c r="E61">
        <v>3</v>
      </c>
      <c r="F61" t="s">
        <v>20</v>
      </c>
    </row>
    <row r="62" spans="1:6" x14ac:dyDescent="0.25">
      <c r="A62" s="1">
        <v>46117</v>
      </c>
      <c r="B62" t="s">
        <v>30</v>
      </c>
      <c r="C62">
        <v>3.34</v>
      </c>
      <c r="D62" t="s">
        <v>19</v>
      </c>
      <c r="E62">
        <v>4</v>
      </c>
      <c r="F62" t="s">
        <v>21</v>
      </c>
    </row>
    <row r="63" spans="1:6" x14ac:dyDescent="0.25">
      <c r="A63" s="1">
        <v>46118</v>
      </c>
      <c r="B63" t="s">
        <v>30</v>
      </c>
      <c r="C63">
        <v>3.4</v>
      </c>
      <c r="D63" t="s">
        <v>19</v>
      </c>
      <c r="E63">
        <v>5</v>
      </c>
      <c r="F63" t="s">
        <v>21</v>
      </c>
    </row>
    <row r="64" spans="1:6" x14ac:dyDescent="0.25">
      <c r="A64" s="1">
        <v>46119</v>
      </c>
      <c r="B64" t="s">
        <v>30</v>
      </c>
      <c r="C64">
        <v>3.45</v>
      </c>
      <c r="D64" t="s">
        <v>19</v>
      </c>
      <c r="E64">
        <v>6</v>
      </c>
      <c r="F64" t="s">
        <v>21</v>
      </c>
    </row>
    <row r="65" spans="1:6" x14ac:dyDescent="0.25">
      <c r="A65" s="1">
        <v>46120</v>
      </c>
      <c r="B65" t="s">
        <v>30</v>
      </c>
      <c r="C65">
        <v>3.5</v>
      </c>
      <c r="D65" t="s">
        <v>19</v>
      </c>
      <c r="E65">
        <v>7</v>
      </c>
      <c r="F65" t="s">
        <v>22</v>
      </c>
    </row>
    <row r="66" spans="1:6" x14ac:dyDescent="0.25">
      <c r="A66" s="1">
        <v>46113</v>
      </c>
      <c r="B66" t="s">
        <v>31</v>
      </c>
      <c r="C66">
        <v>4.95</v>
      </c>
      <c r="D66" t="s">
        <v>19</v>
      </c>
      <c r="E66">
        <v>0</v>
      </c>
      <c r="F66" t="s">
        <v>20</v>
      </c>
    </row>
    <row r="67" spans="1:6" x14ac:dyDescent="0.25">
      <c r="A67" s="1">
        <v>46114</v>
      </c>
      <c r="B67" t="s">
        <v>31</v>
      </c>
      <c r="C67">
        <v>5.03</v>
      </c>
      <c r="D67" t="s">
        <v>19</v>
      </c>
      <c r="E67">
        <v>1</v>
      </c>
      <c r="F67" t="s">
        <v>20</v>
      </c>
    </row>
    <row r="68" spans="1:6" x14ac:dyDescent="0.25">
      <c r="A68" s="1">
        <v>46115</v>
      </c>
      <c r="B68" t="s">
        <v>31</v>
      </c>
      <c r="C68">
        <v>5.12</v>
      </c>
      <c r="D68" t="s">
        <v>19</v>
      </c>
      <c r="E68">
        <v>2</v>
      </c>
      <c r="F68" t="s">
        <v>20</v>
      </c>
    </row>
    <row r="69" spans="1:6" x14ac:dyDescent="0.25">
      <c r="A69" s="1">
        <v>46116</v>
      </c>
      <c r="B69" t="s">
        <v>31</v>
      </c>
      <c r="C69">
        <v>5.2</v>
      </c>
      <c r="D69" t="s">
        <v>19</v>
      </c>
      <c r="E69">
        <v>3</v>
      </c>
      <c r="F69" t="s">
        <v>20</v>
      </c>
    </row>
    <row r="70" spans="1:6" x14ac:dyDescent="0.25">
      <c r="A70" s="1">
        <v>46117</v>
      </c>
      <c r="B70" t="s">
        <v>31</v>
      </c>
      <c r="C70">
        <v>5.29</v>
      </c>
      <c r="D70" t="s">
        <v>19</v>
      </c>
      <c r="E70">
        <v>4</v>
      </c>
      <c r="F70" t="s">
        <v>21</v>
      </c>
    </row>
    <row r="71" spans="1:6" x14ac:dyDescent="0.25">
      <c r="A71" s="1">
        <v>46118</v>
      </c>
      <c r="B71" t="s">
        <v>31</v>
      </c>
      <c r="C71">
        <v>5.37</v>
      </c>
      <c r="D71" t="s">
        <v>19</v>
      </c>
      <c r="E71">
        <v>5</v>
      </c>
      <c r="F71" t="s">
        <v>21</v>
      </c>
    </row>
    <row r="72" spans="1:6" x14ac:dyDescent="0.25">
      <c r="A72" s="1">
        <v>46119</v>
      </c>
      <c r="B72" t="s">
        <v>31</v>
      </c>
      <c r="C72">
        <v>5.45</v>
      </c>
      <c r="D72" t="s">
        <v>19</v>
      </c>
      <c r="E72">
        <v>6</v>
      </c>
      <c r="F72" t="s">
        <v>21</v>
      </c>
    </row>
    <row r="73" spans="1:6" x14ac:dyDescent="0.25">
      <c r="A73" s="1">
        <v>46120</v>
      </c>
      <c r="B73" t="s">
        <v>31</v>
      </c>
      <c r="C73">
        <v>5.54</v>
      </c>
      <c r="D73" t="s">
        <v>19</v>
      </c>
      <c r="E73">
        <v>7</v>
      </c>
      <c r="F73" t="s">
        <v>22</v>
      </c>
    </row>
    <row r="74" spans="1:6" x14ac:dyDescent="0.25">
      <c r="A74" s="1">
        <v>46113</v>
      </c>
      <c r="B74" t="s">
        <v>32</v>
      </c>
      <c r="C74">
        <v>1.85</v>
      </c>
      <c r="D74" t="s">
        <v>19</v>
      </c>
      <c r="E74">
        <v>0</v>
      </c>
      <c r="F74" t="s">
        <v>20</v>
      </c>
    </row>
    <row r="75" spans="1:6" x14ac:dyDescent="0.25">
      <c r="A75" s="1">
        <v>46114</v>
      </c>
      <c r="B75" t="s">
        <v>32</v>
      </c>
      <c r="C75">
        <v>1.86</v>
      </c>
      <c r="D75" t="s">
        <v>19</v>
      </c>
      <c r="E75">
        <v>1</v>
      </c>
      <c r="F75" t="s">
        <v>20</v>
      </c>
    </row>
    <row r="76" spans="1:6" x14ac:dyDescent="0.25">
      <c r="A76" s="1">
        <v>46115</v>
      </c>
      <c r="B76" t="s">
        <v>32</v>
      </c>
      <c r="C76">
        <v>1.87</v>
      </c>
      <c r="D76" t="s">
        <v>19</v>
      </c>
      <c r="E76">
        <v>2</v>
      </c>
      <c r="F76" t="s">
        <v>20</v>
      </c>
    </row>
    <row r="77" spans="1:6" x14ac:dyDescent="0.25">
      <c r="A77" s="1">
        <v>46116</v>
      </c>
      <c r="B77" t="s">
        <v>32</v>
      </c>
      <c r="C77">
        <v>1.88</v>
      </c>
      <c r="D77" t="s">
        <v>19</v>
      </c>
      <c r="E77">
        <v>3</v>
      </c>
      <c r="F77" t="s">
        <v>20</v>
      </c>
    </row>
    <row r="78" spans="1:6" x14ac:dyDescent="0.25">
      <c r="A78" s="1">
        <v>46117</v>
      </c>
      <c r="B78" t="s">
        <v>32</v>
      </c>
      <c r="C78">
        <v>1.89</v>
      </c>
      <c r="D78" t="s">
        <v>19</v>
      </c>
      <c r="E78">
        <v>4</v>
      </c>
      <c r="F78" t="s">
        <v>21</v>
      </c>
    </row>
    <row r="79" spans="1:6" x14ac:dyDescent="0.25">
      <c r="A79" s="1">
        <v>46118</v>
      </c>
      <c r="B79" t="s">
        <v>32</v>
      </c>
      <c r="C79">
        <v>1.89</v>
      </c>
      <c r="D79" t="s">
        <v>19</v>
      </c>
      <c r="E79">
        <v>5</v>
      </c>
      <c r="F79" t="s">
        <v>21</v>
      </c>
    </row>
    <row r="80" spans="1:6" x14ac:dyDescent="0.25">
      <c r="A80" s="1">
        <v>46119</v>
      </c>
      <c r="B80" t="s">
        <v>32</v>
      </c>
      <c r="C80">
        <v>1.9</v>
      </c>
      <c r="D80" t="s">
        <v>19</v>
      </c>
      <c r="E80">
        <v>6</v>
      </c>
      <c r="F80" t="s">
        <v>21</v>
      </c>
    </row>
    <row r="81" spans="1:6" x14ac:dyDescent="0.25">
      <c r="A81" s="1">
        <v>46120</v>
      </c>
      <c r="B81" t="s">
        <v>32</v>
      </c>
      <c r="C81">
        <v>1.91</v>
      </c>
      <c r="D81" t="s">
        <v>19</v>
      </c>
      <c r="E81">
        <v>7</v>
      </c>
      <c r="F81" t="s">
        <v>22</v>
      </c>
    </row>
    <row r="82" spans="1:6" x14ac:dyDescent="0.25">
      <c r="A82" s="1">
        <v>46113</v>
      </c>
      <c r="B82" t="s">
        <v>33</v>
      </c>
      <c r="C82">
        <v>1.78</v>
      </c>
      <c r="D82" t="s">
        <v>19</v>
      </c>
      <c r="E82">
        <v>0</v>
      </c>
      <c r="F82" t="s">
        <v>20</v>
      </c>
    </row>
    <row r="83" spans="1:6" x14ac:dyDescent="0.25">
      <c r="A83" s="1">
        <v>46114</v>
      </c>
      <c r="B83" t="s">
        <v>33</v>
      </c>
      <c r="C83">
        <v>1.79</v>
      </c>
      <c r="D83" t="s">
        <v>19</v>
      </c>
      <c r="E83">
        <v>1</v>
      </c>
      <c r="F83" t="s">
        <v>20</v>
      </c>
    </row>
    <row r="84" spans="1:6" x14ac:dyDescent="0.25">
      <c r="A84" s="1">
        <v>46115</v>
      </c>
      <c r="B84" t="s">
        <v>33</v>
      </c>
      <c r="C84">
        <v>1.81</v>
      </c>
      <c r="D84" t="s">
        <v>19</v>
      </c>
      <c r="E84">
        <v>2</v>
      </c>
      <c r="F84" t="s">
        <v>20</v>
      </c>
    </row>
    <row r="85" spans="1:6" x14ac:dyDescent="0.25">
      <c r="A85" s="1">
        <v>46116</v>
      </c>
      <c r="B85" t="s">
        <v>33</v>
      </c>
      <c r="C85">
        <v>1.82</v>
      </c>
      <c r="D85" t="s">
        <v>19</v>
      </c>
      <c r="E85">
        <v>3</v>
      </c>
      <c r="F85" t="s">
        <v>20</v>
      </c>
    </row>
    <row r="86" spans="1:6" x14ac:dyDescent="0.25">
      <c r="A86" s="1">
        <v>46117</v>
      </c>
      <c r="B86" t="s">
        <v>33</v>
      </c>
      <c r="C86">
        <v>1.83</v>
      </c>
      <c r="D86" t="s">
        <v>19</v>
      </c>
      <c r="E86">
        <v>4</v>
      </c>
      <c r="F86" t="s">
        <v>21</v>
      </c>
    </row>
    <row r="87" spans="1:6" x14ac:dyDescent="0.25">
      <c r="A87" s="1">
        <v>46118</v>
      </c>
      <c r="B87" t="s">
        <v>33</v>
      </c>
      <c r="C87">
        <v>1.85</v>
      </c>
      <c r="D87" t="s">
        <v>19</v>
      </c>
      <c r="E87">
        <v>5</v>
      </c>
      <c r="F87" t="s">
        <v>21</v>
      </c>
    </row>
    <row r="88" spans="1:6" x14ac:dyDescent="0.25">
      <c r="A88" s="1">
        <v>46119</v>
      </c>
      <c r="B88" t="s">
        <v>33</v>
      </c>
      <c r="C88">
        <v>1.86</v>
      </c>
      <c r="D88" t="s">
        <v>19</v>
      </c>
      <c r="E88">
        <v>6</v>
      </c>
      <c r="F88" t="s">
        <v>21</v>
      </c>
    </row>
    <row r="89" spans="1:6" x14ac:dyDescent="0.25">
      <c r="A89" s="1">
        <v>46120</v>
      </c>
      <c r="B89" t="s">
        <v>33</v>
      </c>
      <c r="C89">
        <v>1.88</v>
      </c>
      <c r="D89" t="s">
        <v>19</v>
      </c>
      <c r="E89">
        <v>7</v>
      </c>
      <c r="F89" t="s">
        <v>22</v>
      </c>
    </row>
    <row r="90" spans="1:6" x14ac:dyDescent="0.25">
      <c r="A90" s="1">
        <v>46113</v>
      </c>
      <c r="B90" t="s">
        <v>34</v>
      </c>
      <c r="C90">
        <v>82.34</v>
      </c>
      <c r="D90" t="s">
        <v>35</v>
      </c>
      <c r="E90">
        <v>0</v>
      </c>
      <c r="F90" t="s">
        <v>20</v>
      </c>
    </row>
    <row r="91" spans="1:6" x14ac:dyDescent="0.25">
      <c r="A91" s="1">
        <v>46114</v>
      </c>
      <c r="B91" t="s">
        <v>34</v>
      </c>
      <c r="C91">
        <v>87.18</v>
      </c>
      <c r="D91" t="s">
        <v>35</v>
      </c>
      <c r="E91">
        <v>1</v>
      </c>
      <c r="F91" t="s">
        <v>20</v>
      </c>
    </row>
    <row r="92" spans="1:6" x14ac:dyDescent="0.25">
      <c r="A92" s="1">
        <v>46115</v>
      </c>
      <c r="B92" t="s">
        <v>34</v>
      </c>
      <c r="C92">
        <v>92.01</v>
      </c>
      <c r="D92" t="s">
        <v>35</v>
      </c>
      <c r="E92">
        <v>2</v>
      </c>
      <c r="F92" t="s">
        <v>20</v>
      </c>
    </row>
    <row r="93" spans="1:6" x14ac:dyDescent="0.25">
      <c r="A93" s="1">
        <v>46116</v>
      </c>
      <c r="B93" t="s">
        <v>34</v>
      </c>
      <c r="C93">
        <v>96.85</v>
      </c>
      <c r="D93" t="s">
        <v>35</v>
      </c>
      <c r="E93">
        <v>3</v>
      </c>
      <c r="F93" t="s">
        <v>20</v>
      </c>
    </row>
    <row r="94" spans="1:6" x14ac:dyDescent="0.25">
      <c r="A94" s="1">
        <v>46117</v>
      </c>
      <c r="B94" t="s">
        <v>34</v>
      </c>
      <c r="C94">
        <v>101.69</v>
      </c>
      <c r="D94" t="s">
        <v>35</v>
      </c>
      <c r="E94">
        <v>4</v>
      </c>
      <c r="F94" t="s">
        <v>21</v>
      </c>
    </row>
    <row r="95" spans="1:6" x14ac:dyDescent="0.25">
      <c r="A95" s="1">
        <v>46118</v>
      </c>
      <c r="B95" t="s">
        <v>34</v>
      </c>
      <c r="C95">
        <v>106.52</v>
      </c>
      <c r="D95" t="s">
        <v>35</v>
      </c>
      <c r="E95">
        <v>5</v>
      </c>
      <c r="F95" t="s">
        <v>21</v>
      </c>
    </row>
    <row r="96" spans="1:6" x14ac:dyDescent="0.25">
      <c r="A96" s="1">
        <v>46119</v>
      </c>
      <c r="B96" t="s">
        <v>34</v>
      </c>
      <c r="C96">
        <v>111.36</v>
      </c>
      <c r="D96" t="s">
        <v>35</v>
      </c>
      <c r="E96">
        <v>6</v>
      </c>
      <c r="F96" t="s">
        <v>21</v>
      </c>
    </row>
    <row r="97" spans="1:6" x14ac:dyDescent="0.25">
      <c r="A97" s="1">
        <v>46120</v>
      </c>
      <c r="B97" t="s">
        <v>34</v>
      </c>
      <c r="C97">
        <v>116.19</v>
      </c>
      <c r="D97" t="s">
        <v>35</v>
      </c>
      <c r="E97">
        <v>7</v>
      </c>
      <c r="F97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BE2F-F768-40DE-B427-2761906EC4B4}">
  <dimension ref="A1:F16"/>
  <sheetViews>
    <sheetView workbookViewId="0">
      <selection activeCell="C15" sqref="C15"/>
    </sheetView>
  </sheetViews>
  <sheetFormatPr defaultRowHeight="15" x14ac:dyDescent="0.25"/>
  <cols>
    <col min="1" max="1" width="10.28515625" bestFit="1" customWidth="1"/>
    <col min="2" max="2" width="24.28515625" bestFit="1" customWidth="1"/>
    <col min="3" max="3" width="25.5703125" bestFit="1" customWidth="1"/>
    <col min="4" max="4" width="26.28515625" bestFit="1" customWidth="1"/>
    <col min="5" max="5" width="12.5703125" bestFit="1" customWidth="1"/>
    <col min="6" max="6" width="27.85546875" bestFit="1" customWidth="1"/>
  </cols>
  <sheetData>
    <row r="1" spans="1:6" x14ac:dyDescent="0.25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</row>
    <row r="2" spans="1:6" x14ac:dyDescent="0.25">
      <c r="A2" s="1">
        <v>46106</v>
      </c>
      <c r="B2">
        <v>85.2</v>
      </c>
      <c r="C2">
        <v>87.7</v>
      </c>
      <c r="D2">
        <v>86.2</v>
      </c>
      <c r="E2" t="s">
        <v>0</v>
      </c>
      <c r="F2">
        <v>2.52</v>
      </c>
    </row>
    <row r="3" spans="1:6" x14ac:dyDescent="0.25">
      <c r="A3" s="1">
        <v>46107</v>
      </c>
      <c r="B3">
        <v>84.94</v>
      </c>
      <c r="C3">
        <v>87.44</v>
      </c>
      <c r="D3">
        <v>85.94</v>
      </c>
      <c r="E3" t="s">
        <v>6</v>
      </c>
      <c r="F3">
        <v>2.84</v>
      </c>
    </row>
    <row r="4" spans="1:6" x14ac:dyDescent="0.25">
      <c r="A4" s="1">
        <v>46108</v>
      </c>
      <c r="B4">
        <v>84.94</v>
      </c>
      <c r="C4">
        <v>87.44</v>
      </c>
      <c r="D4">
        <v>85.94</v>
      </c>
      <c r="E4" t="s">
        <v>5</v>
      </c>
      <c r="F4">
        <v>3.32</v>
      </c>
    </row>
    <row r="5" spans="1:6" x14ac:dyDescent="0.25">
      <c r="A5" s="1">
        <v>46109</v>
      </c>
      <c r="B5">
        <v>85.32</v>
      </c>
      <c r="C5">
        <v>87.82</v>
      </c>
      <c r="D5">
        <v>86.32</v>
      </c>
      <c r="E5" t="s">
        <v>4</v>
      </c>
      <c r="F5">
        <v>3.17</v>
      </c>
    </row>
    <row r="6" spans="1:6" x14ac:dyDescent="0.25">
      <c r="A6" s="1">
        <v>46110</v>
      </c>
      <c r="B6">
        <v>85.45</v>
      </c>
      <c r="C6">
        <v>87.95</v>
      </c>
      <c r="D6">
        <v>86.45</v>
      </c>
      <c r="E6" t="s">
        <v>3</v>
      </c>
      <c r="F6">
        <v>2.91</v>
      </c>
    </row>
    <row r="7" spans="1:6" x14ac:dyDescent="0.25">
      <c r="A7" s="1">
        <v>46111</v>
      </c>
      <c r="B7">
        <v>85.91</v>
      </c>
      <c r="C7">
        <v>88.41</v>
      </c>
      <c r="D7">
        <v>86.91</v>
      </c>
      <c r="E7" t="s">
        <v>2</v>
      </c>
      <c r="F7">
        <v>2.64</v>
      </c>
    </row>
    <row r="8" spans="1:6" x14ac:dyDescent="0.25">
      <c r="A8" s="1">
        <v>46112</v>
      </c>
      <c r="B8">
        <v>84.15</v>
      </c>
      <c r="C8">
        <v>86.65</v>
      </c>
      <c r="D8">
        <v>85.15</v>
      </c>
      <c r="E8" t="s">
        <v>1</v>
      </c>
      <c r="F8">
        <v>3.65</v>
      </c>
    </row>
    <row r="9" spans="1:6" x14ac:dyDescent="0.25">
      <c r="A9" s="1">
        <v>46113</v>
      </c>
      <c r="B9">
        <v>93.49</v>
      </c>
      <c r="C9">
        <v>95.99</v>
      </c>
      <c r="D9">
        <v>94.49</v>
      </c>
      <c r="E9" t="s">
        <v>0</v>
      </c>
      <c r="F9">
        <v>2.61</v>
      </c>
    </row>
    <row r="10" spans="1:6" x14ac:dyDescent="0.25">
      <c r="A10" s="1">
        <v>46114</v>
      </c>
      <c r="B10">
        <v>94.24</v>
      </c>
      <c r="C10">
        <v>96.74</v>
      </c>
      <c r="D10">
        <v>95.24</v>
      </c>
      <c r="E10" t="s">
        <v>6</v>
      </c>
      <c r="F10">
        <v>3</v>
      </c>
    </row>
    <row r="11" spans="1:6" x14ac:dyDescent="0.25">
      <c r="A11" s="1">
        <v>46115</v>
      </c>
      <c r="B11">
        <v>93.88</v>
      </c>
      <c r="C11">
        <v>96.38</v>
      </c>
      <c r="D11">
        <v>94.88</v>
      </c>
      <c r="E11" t="s">
        <v>5</v>
      </c>
      <c r="F11">
        <v>3.38</v>
      </c>
    </row>
    <row r="12" spans="1:6" x14ac:dyDescent="0.25">
      <c r="A12" s="1">
        <v>46116</v>
      </c>
      <c r="B12">
        <v>109.76</v>
      </c>
      <c r="C12">
        <v>112.26</v>
      </c>
      <c r="D12">
        <v>110.76</v>
      </c>
      <c r="E12" t="s">
        <v>4</v>
      </c>
      <c r="F12">
        <v>3.26</v>
      </c>
    </row>
    <row r="13" spans="1:6" x14ac:dyDescent="0.25">
      <c r="A13" s="1">
        <v>46117</v>
      </c>
      <c r="B13">
        <v>112.52</v>
      </c>
      <c r="C13">
        <v>115.02</v>
      </c>
      <c r="D13">
        <v>113.52</v>
      </c>
      <c r="E13" t="s">
        <v>3</v>
      </c>
      <c r="F13">
        <v>3.15</v>
      </c>
    </row>
    <row r="14" spans="1:6" x14ac:dyDescent="0.25">
      <c r="A14" s="1">
        <v>46118</v>
      </c>
      <c r="B14">
        <v>110.24</v>
      </c>
      <c r="C14">
        <v>112.74</v>
      </c>
      <c r="D14">
        <v>111.24</v>
      </c>
      <c r="E14" t="s">
        <v>2</v>
      </c>
      <c r="F14">
        <v>3.27</v>
      </c>
    </row>
    <row r="15" spans="1:6" x14ac:dyDescent="0.25">
      <c r="A15" s="1">
        <v>46119</v>
      </c>
      <c r="B15">
        <v>109.42</v>
      </c>
      <c r="C15">
        <v>111.92</v>
      </c>
      <c r="D15">
        <v>110.42</v>
      </c>
      <c r="E15" t="s">
        <v>1</v>
      </c>
      <c r="F15">
        <v>2.91</v>
      </c>
    </row>
    <row r="16" spans="1:6" x14ac:dyDescent="0.25">
      <c r="A16" s="1">
        <v>46120</v>
      </c>
      <c r="B16">
        <v>112.4</v>
      </c>
      <c r="C16">
        <v>114.9</v>
      </c>
      <c r="D16">
        <v>113.4</v>
      </c>
      <c r="E16" t="s">
        <v>0</v>
      </c>
      <c r="F16">
        <v>3.34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4DEE-EABF-4D46-8ED6-93D6AA2EB03D}">
  <dimension ref="A1:E49"/>
  <sheetViews>
    <sheetView workbookViewId="0">
      <selection activeCell="D14" activeCellId="1" sqref="G61 D14"/>
    </sheetView>
  </sheetViews>
  <sheetFormatPr defaultRowHeight="15" x14ac:dyDescent="0.25"/>
  <cols>
    <col min="1" max="1" width="10.28515625" bestFit="1" customWidth="1"/>
    <col min="2" max="2" width="12.28515625" bestFit="1" customWidth="1"/>
    <col min="3" max="3" width="13.5703125" bestFit="1" customWidth="1"/>
    <col min="4" max="4" width="19.42578125" bestFit="1" customWidth="1"/>
    <col min="5" max="5" width="13.7109375" bestFit="1" customWidth="1"/>
  </cols>
  <sheetData>
    <row r="1" spans="1:5" x14ac:dyDescent="0.25">
      <c r="A1" t="s">
        <v>12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s="1">
        <v>46113</v>
      </c>
      <c r="B2" t="s">
        <v>40</v>
      </c>
      <c r="C2">
        <v>104.5</v>
      </c>
      <c r="D2">
        <v>0.16</v>
      </c>
      <c r="E2">
        <v>28.5</v>
      </c>
    </row>
    <row r="3" spans="1:5" x14ac:dyDescent="0.25">
      <c r="A3" s="1">
        <v>46113</v>
      </c>
      <c r="B3" t="s">
        <v>41</v>
      </c>
      <c r="C3">
        <v>1.0900000000000001</v>
      </c>
      <c r="D3">
        <v>0.03</v>
      </c>
      <c r="E3">
        <v>24.6</v>
      </c>
    </row>
    <row r="4" spans="1:5" x14ac:dyDescent="0.25">
      <c r="A4" s="1">
        <v>46113</v>
      </c>
      <c r="B4" t="s">
        <v>42</v>
      </c>
      <c r="C4">
        <v>1.27</v>
      </c>
      <c r="D4">
        <v>-0.4</v>
      </c>
      <c r="E4">
        <v>31.4</v>
      </c>
    </row>
    <row r="5" spans="1:5" x14ac:dyDescent="0.25">
      <c r="A5" s="1">
        <v>46113</v>
      </c>
      <c r="B5" t="s">
        <v>43</v>
      </c>
      <c r="C5">
        <v>83.24</v>
      </c>
      <c r="D5">
        <v>0.45</v>
      </c>
      <c r="E5">
        <v>29.6</v>
      </c>
    </row>
    <row r="6" spans="1:5" x14ac:dyDescent="0.25">
      <c r="A6" s="1">
        <v>46113</v>
      </c>
      <c r="B6" t="s">
        <v>44</v>
      </c>
      <c r="C6">
        <v>278.45</v>
      </c>
      <c r="D6">
        <v>0.21</v>
      </c>
      <c r="E6">
        <v>25</v>
      </c>
    </row>
    <row r="7" spans="1:5" x14ac:dyDescent="0.25">
      <c r="A7" s="1">
        <v>46113</v>
      </c>
      <c r="B7" t="s">
        <v>45</v>
      </c>
      <c r="C7">
        <v>3.673</v>
      </c>
      <c r="D7">
        <v>0.34</v>
      </c>
      <c r="E7">
        <v>29</v>
      </c>
    </row>
    <row r="8" spans="1:5" x14ac:dyDescent="0.25">
      <c r="A8" s="1">
        <v>46114</v>
      </c>
      <c r="B8" t="s">
        <v>40</v>
      </c>
      <c r="C8">
        <v>104.85</v>
      </c>
      <c r="D8">
        <v>0.18</v>
      </c>
      <c r="E8">
        <v>15.4</v>
      </c>
    </row>
    <row r="9" spans="1:5" x14ac:dyDescent="0.25">
      <c r="A9" s="1">
        <v>46114</v>
      </c>
      <c r="B9" t="s">
        <v>41</v>
      </c>
      <c r="C9">
        <v>1.07</v>
      </c>
      <c r="D9">
        <v>0.34</v>
      </c>
      <c r="E9">
        <v>30.2</v>
      </c>
    </row>
    <row r="10" spans="1:5" x14ac:dyDescent="0.25">
      <c r="A10" s="1">
        <v>46114</v>
      </c>
      <c r="B10" t="s">
        <v>42</v>
      </c>
      <c r="C10">
        <v>1.25</v>
      </c>
      <c r="D10">
        <v>0.4</v>
      </c>
      <c r="E10">
        <v>15.2</v>
      </c>
    </row>
    <row r="11" spans="1:5" x14ac:dyDescent="0.25">
      <c r="A11" s="1">
        <v>46114</v>
      </c>
      <c r="B11" t="s">
        <v>43</v>
      </c>
      <c r="C11">
        <v>83.22</v>
      </c>
      <c r="D11">
        <v>-0.43</v>
      </c>
      <c r="E11">
        <v>15.2</v>
      </c>
    </row>
    <row r="12" spans="1:5" x14ac:dyDescent="0.25">
      <c r="A12" s="1">
        <v>46114</v>
      </c>
      <c r="B12" t="s">
        <v>44</v>
      </c>
      <c r="C12">
        <v>278.43</v>
      </c>
      <c r="D12">
        <v>-0.28999999999999998</v>
      </c>
      <c r="E12">
        <v>22.3</v>
      </c>
    </row>
    <row r="13" spans="1:5" x14ac:dyDescent="0.25">
      <c r="A13" s="1">
        <v>46114</v>
      </c>
      <c r="B13" t="s">
        <v>45</v>
      </c>
      <c r="C13">
        <v>3.653</v>
      </c>
      <c r="D13">
        <v>0.47</v>
      </c>
      <c r="E13">
        <v>16.2</v>
      </c>
    </row>
    <row r="14" spans="1:5" x14ac:dyDescent="0.25">
      <c r="A14" s="1">
        <v>46115</v>
      </c>
      <c r="B14" t="s">
        <v>40</v>
      </c>
      <c r="C14">
        <v>105.2</v>
      </c>
      <c r="D14">
        <v>0.14000000000000001</v>
      </c>
      <c r="E14">
        <v>30.2</v>
      </c>
    </row>
    <row r="15" spans="1:5" x14ac:dyDescent="0.25">
      <c r="A15" s="1">
        <v>46115</v>
      </c>
      <c r="B15" t="s">
        <v>41</v>
      </c>
      <c r="C15">
        <v>1.05</v>
      </c>
      <c r="D15">
        <v>-0.16</v>
      </c>
      <c r="E15">
        <v>21.1</v>
      </c>
    </row>
    <row r="16" spans="1:5" x14ac:dyDescent="0.25">
      <c r="A16" s="1">
        <v>46115</v>
      </c>
      <c r="B16" t="s">
        <v>42</v>
      </c>
      <c r="C16">
        <v>1.23</v>
      </c>
      <c r="D16">
        <v>-0.32</v>
      </c>
      <c r="E16">
        <v>29.5</v>
      </c>
    </row>
    <row r="17" spans="1:5" x14ac:dyDescent="0.25">
      <c r="A17" s="1">
        <v>46115</v>
      </c>
      <c r="B17" t="s">
        <v>43</v>
      </c>
      <c r="C17">
        <v>83.2</v>
      </c>
      <c r="D17">
        <v>-0.17</v>
      </c>
      <c r="E17">
        <v>28.4</v>
      </c>
    </row>
    <row r="18" spans="1:5" x14ac:dyDescent="0.25">
      <c r="A18" s="1">
        <v>46115</v>
      </c>
      <c r="B18" t="s">
        <v>44</v>
      </c>
      <c r="C18">
        <v>278.41000000000003</v>
      </c>
      <c r="D18">
        <v>-0.4</v>
      </c>
      <c r="E18">
        <v>33.700000000000003</v>
      </c>
    </row>
    <row r="19" spans="1:5" x14ac:dyDescent="0.25">
      <c r="A19" s="1">
        <v>46115</v>
      </c>
      <c r="B19" t="s">
        <v>45</v>
      </c>
      <c r="C19">
        <v>3.633</v>
      </c>
      <c r="D19">
        <v>0.56999999999999995</v>
      </c>
      <c r="E19">
        <v>19.899999999999999</v>
      </c>
    </row>
    <row r="20" spans="1:5" x14ac:dyDescent="0.25">
      <c r="A20" s="1">
        <v>46116</v>
      </c>
      <c r="B20" t="s">
        <v>40</v>
      </c>
      <c r="C20">
        <v>105.55</v>
      </c>
      <c r="D20">
        <v>0.67</v>
      </c>
      <c r="E20">
        <v>22.1</v>
      </c>
    </row>
    <row r="21" spans="1:5" x14ac:dyDescent="0.25">
      <c r="A21" s="1">
        <v>46116</v>
      </c>
      <c r="B21" t="s">
        <v>41</v>
      </c>
      <c r="C21">
        <v>1.03</v>
      </c>
      <c r="D21">
        <v>0</v>
      </c>
      <c r="E21">
        <v>15.7</v>
      </c>
    </row>
    <row r="22" spans="1:5" x14ac:dyDescent="0.25">
      <c r="A22" s="1">
        <v>46116</v>
      </c>
      <c r="B22" t="s">
        <v>42</v>
      </c>
      <c r="C22">
        <v>1.21</v>
      </c>
      <c r="D22">
        <v>0.6</v>
      </c>
      <c r="E22">
        <v>19.8</v>
      </c>
    </row>
    <row r="23" spans="1:5" x14ac:dyDescent="0.25">
      <c r="A23" s="1">
        <v>46116</v>
      </c>
      <c r="B23" t="s">
        <v>43</v>
      </c>
      <c r="C23">
        <v>83.18</v>
      </c>
      <c r="D23">
        <v>-0.17</v>
      </c>
      <c r="E23">
        <v>18.100000000000001</v>
      </c>
    </row>
    <row r="24" spans="1:5" x14ac:dyDescent="0.25">
      <c r="A24" s="1">
        <v>46116</v>
      </c>
      <c r="B24" t="s">
        <v>44</v>
      </c>
      <c r="C24">
        <v>278.39</v>
      </c>
      <c r="D24">
        <v>0.09</v>
      </c>
      <c r="E24">
        <v>18.5</v>
      </c>
    </row>
    <row r="25" spans="1:5" x14ac:dyDescent="0.25">
      <c r="A25" s="1">
        <v>46116</v>
      </c>
      <c r="B25" t="s">
        <v>45</v>
      </c>
      <c r="C25">
        <v>3.613</v>
      </c>
      <c r="D25">
        <v>-0.46</v>
      </c>
      <c r="E25">
        <v>29.5</v>
      </c>
    </row>
    <row r="26" spans="1:5" x14ac:dyDescent="0.25">
      <c r="A26" s="1">
        <v>46117</v>
      </c>
      <c r="B26" t="s">
        <v>40</v>
      </c>
      <c r="C26">
        <v>105.9</v>
      </c>
      <c r="D26">
        <v>0.51</v>
      </c>
      <c r="E26">
        <v>15.7</v>
      </c>
    </row>
    <row r="27" spans="1:5" x14ac:dyDescent="0.25">
      <c r="A27" s="1">
        <v>46117</v>
      </c>
      <c r="B27" t="s">
        <v>41</v>
      </c>
      <c r="C27">
        <v>1.01</v>
      </c>
      <c r="D27">
        <v>0.03</v>
      </c>
      <c r="E27">
        <v>23</v>
      </c>
    </row>
    <row r="28" spans="1:5" x14ac:dyDescent="0.25">
      <c r="A28" s="1">
        <v>46117</v>
      </c>
      <c r="B28" t="s">
        <v>42</v>
      </c>
      <c r="C28">
        <v>1.19</v>
      </c>
      <c r="D28">
        <v>0.39</v>
      </c>
      <c r="E28">
        <v>25.8</v>
      </c>
    </row>
    <row r="29" spans="1:5" x14ac:dyDescent="0.25">
      <c r="A29" s="1">
        <v>46117</v>
      </c>
      <c r="B29" t="s">
        <v>43</v>
      </c>
      <c r="C29">
        <v>83.16</v>
      </c>
      <c r="D29">
        <v>0.51</v>
      </c>
      <c r="E29">
        <v>32.4</v>
      </c>
    </row>
    <row r="30" spans="1:5" x14ac:dyDescent="0.25">
      <c r="A30" s="1">
        <v>46117</v>
      </c>
      <c r="B30" t="s">
        <v>44</v>
      </c>
      <c r="C30">
        <v>278.37</v>
      </c>
      <c r="D30">
        <v>0.35</v>
      </c>
      <c r="E30">
        <v>20.3</v>
      </c>
    </row>
    <row r="31" spans="1:5" x14ac:dyDescent="0.25">
      <c r="A31" s="1">
        <v>46117</v>
      </c>
      <c r="B31" t="s">
        <v>45</v>
      </c>
      <c r="C31">
        <v>3.593</v>
      </c>
      <c r="D31">
        <v>0.26</v>
      </c>
      <c r="E31">
        <v>34.799999999999997</v>
      </c>
    </row>
    <row r="32" spans="1:5" x14ac:dyDescent="0.25">
      <c r="A32" s="1">
        <v>46118</v>
      </c>
      <c r="B32" t="s">
        <v>40</v>
      </c>
      <c r="C32">
        <v>106.25</v>
      </c>
      <c r="D32">
        <v>0.24</v>
      </c>
      <c r="E32">
        <v>25</v>
      </c>
    </row>
    <row r="33" spans="1:5" x14ac:dyDescent="0.25">
      <c r="A33" s="1">
        <v>46118</v>
      </c>
      <c r="B33" t="s">
        <v>41</v>
      </c>
      <c r="C33">
        <v>0.99</v>
      </c>
      <c r="D33">
        <v>0.42</v>
      </c>
      <c r="E33">
        <v>17.3</v>
      </c>
    </row>
    <row r="34" spans="1:5" x14ac:dyDescent="0.25">
      <c r="A34" s="1">
        <v>46118</v>
      </c>
      <c r="B34" t="s">
        <v>42</v>
      </c>
      <c r="C34">
        <v>1.17</v>
      </c>
      <c r="D34">
        <v>0.77</v>
      </c>
      <c r="E34">
        <v>28.4</v>
      </c>
    </row>
    <row r="35" spans="1:5" x14ac:dyDescent="0.25">
      <c r="A35" s="1">
        <v>46118</v>
      </c>
      <c r="B35" t="s">
        <v>43</v>
      </c>
      <c r="C35">
        <v>83.14</v>
      </c>
      <c r="D35">
        <v>0.17</v>
      </c>
      <c r="E35">
        <v>21</v>
      </c>
    </row>
    <row r="36" spans="1:5" x14ac:dyDescent="0.25">
      <c r="A36" s="1">
        <v>46118</v>
      </c>
      <c r="B36" t="s">
        <v>44</v>
      </c>
      <c r="C36">
        <v>278.35000000000002</v>
      </c>
      <c r="D36">
        <v>-0.26</v>
      </c>
      <c r="E36">
        <v>29.4</v>
      </c>
    </row>
    <row r="37" spans="1:5" x14ac:dyDescent="0.25">
      <c r="A37" s="1">
        <v>46118</v>
      </c>
      <c r="B37" t="s">
        <v>45</v>
      </c>
      <c r="C37">
        <v>3.573</v>
      </c>
      <c r="D37">
        <v>0.17</v>
      </c>
      <c r="E37">
        <v>24.7</v>
      </c>
    </row>
    <row r="38" spans="1:5" x14ac:dyDescent="0.25">
      <c r="A38" s="1">
        <v>46119</v>
      </c>
      <c r="B38" t="s">
        <v>40</v>
      </c>
      <c r="C38">
        <v>106.6</v>
      </c>
      <c r="D38">
        <v>0.65</v>
      </c>
      <c r="E38">
        <v>26.1</v>
      </c>
    </row>
    <row r="39" spans="1:5" x14ac:dyDescent="0.25">
      <c r="A39" s="1">
        <v>46119</v>
      </c>
      <c r="B39" t="s">
        <v>41</v>
      </c>
      <c r="C39">
        <v>0.97</v>
      </c>
      <c r="D39">
        <v>0.48</v>
      </c>
      <c r="E39">
        <v>30.7</v>
      </c>
    </row>
    <row r="40" spans="1:5" x14ac:dyDescent="0.25">
      <c r="A40" s="1">
        <v>46119</v>
      </c>
      <c r="B40" t="s">
        <v>42</v>
      </c>
      <c r="C40">
        <v>1.1499999999999999</v>
      </c>
      <c r="D40">
        <v>0.7</v>
      </c>
      <c r="E40">
        <v>19.899999999999999</v>
      </c>
    </row>
    <row r="41" spans="1:5" x14ac:dyDescent="0.25">
      <c r="A41" s="1">
        <v>46119</v>
      </c>
      <c r="B41" t="s">
        <v>43</v>
      </c>
      <c r="C41">
        <v>83.12</v>
      </c>
      <c r="D41">
        <v>0.36</v>
      </c>
      <c r="E41">
        <v>28.3</v>
      </c>
    </row>
    <row r="42" spans="1:5" x14ac:dyDescent="0.25">
      <c r="A42" s="1">
        <v>46119</v>
      </c>
      <c r="B42" t="s">
        <v>44</v>
      </c>
      <c r="C42">
        <v>278.33</v>
      </c>
      <c r="D42">
        <v>-0.02</v>
      </c>
      <c r="E42">
        <v>17.5</v>
      </c>
    </row>
    <row r="43" spans="1:5" x14ac:dyDescent="0.25">
      <c r="A43" s="1">
        <v>46119</v>
      </c>
      <c r="B43" t="s">
        <v>45</v>
      </c>
      <c r="C43">
        <v>3.5529999999999999</v>
      </c>
      <c r="D43">
        <v>-0.38</v>
      </c>
      <c r="E43">
        <v>29.8</v>
      </c>
    </row>
    <row r="44" spans="1:5" x14ac:dyDescent="0.25">
      <c r="A44" s="1">
        <v>46120</v>
      </c>
      <c r="B44" t="s">
        <v>40</v>
      </c>
      <c r="C44">
        <v>106.95</v>
      </c>
      <c r="D44">
        <v>0.7</v>
      </c>
      <c r="E44">
        <v>21.4</v>
      </c>
    </row>
    <row r="45" spans="1:5" x14ac:dyDescent="0.25">
      <c r="A45" s="1">
        <v>46120</v>
      </c>
      <c r="B45" t="s">
        <v>41</v>
      </c>
      <c r="C45">
        <v>0.95</v>
      </c>
      <c r="D45">
        <v>-0.11</v>
      </c>
      <c r="E45">
        <v>33.799999999999997</v>
      </c>
    </row>
    <row r="46" spans="1:5" x14ac:dyDescent="0.25">
      <c r="A46" s="1">
        <v>46120</v>
      </c>
      <c r="B46" t="s">
        <v>42</v>
      </c>
      <c r="C46">
        <v>1.1299999999999999</v>
      </c>
      <c r="D46">
        <v>0.34</v>
      </c>
      <c r="E46">
        <v>26.2</v>
      </c>
    </row>
    <row r="47" spans="1:5" x14ac:dyDescent="0.25">
      <c r="A47" s="1">
        <v>46120</v>
      </c>
      <c r="B47" t="s">
        <v>43</v>
      </c>
      <c r="C47">
        <v>83.1</v>
      </c>
      <c r="D47">
        <v>0.22</v>
      </c>
      <c r="E47">
        <v>25.5</v>
      </c>
    </row>
    <row r="48" spans="1:5" x14ac:dyDescent="0.25">
      <c r="A48" s="1">
        <v>46120</v>
      </c>
      <c r="B48" t="s">
        <v>44</v>
      </c>
      <c r="C48">
        <v>278.31</v>
      </c>
      <c r="D48">
        <v>0.32</v>
      </c>
      <c r="E48">
        <v>20.3</v>
      </c>
    </row>
    <row r="49" spans="1:5" x14ac:dyDescent="0.25">
      <c r="A49" s="1">
        <v>46120</v>
      </c>
      <c r="B49" t="s">
        <v>45</v>
      </c>
      <c r="C49">
        <v>3.5329999999999999</v>
      </c>
      <c r="D49">
        <v>0.64</v>
      </c>
      <c r="E49">
        <v>27.5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0266-3D79-495C-A245-E4D0BF200591}">
  <dimension ref="A1:G57"/>
  <sheetViews>
    <sheetView workbookViewId="0">
      <selection activeCell="F15" sqref="F15"/>
    </sheetView>
  </sheetViews>
  <sheetFormatPr defaultRowHeight="15" x14ac:dyDescent="0.25"/>
  <cols>
    <col min="1" max="1" width="10.28515625" bestFit="1" customWidth="1"/>
    <col min="2" max="2" width="12.140625" bestFit="1" customWidth="1"/>
    <col min="3" max="3" width="15" bestFit="1" customWidth="1"/>
    <col min="4" max="4" width="14.85546875" bestFit="1" customWidth="1"/>
    <col min="6" max="6" width="18.7109375" bestFit="1" customWidth="1"/>
    <col min="7" max="7" width="21.7109375" bestFit="1" customWidth="1"/>
  </cols>
  <sheetData>
    <row r="1" spans="1:7" x14ac:dyDescent="0.25">
      <c r="A1" t="s">
        <v>12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25">
      <c r="A2" s="1">
        <v>46113</v>
      </c>
      <c r="B2" t="s">
        <v>52</v>
      </c>
      <c r="C2">
        <v>48</v>
      </c>
      <c r="D2">
        <v>0.3</v>
      </c>
      <c r="E2" t="s">
        <v>53</v>
      </c>
      <c r="F2">
        <v>51</v>
      </c>
      <c r="G2">
        <v>47281</v>
      </c>
    </row>
    <row r="3" spans="1:7" x14ac:dyDescent="0.25">
      <c r="A3" s="1">
        <v>46113</v>
      </c>
      <c r="B3" t="s">
        <v>54</v>
      </c>
      <c r="C3">
        <v>46</v>
      </c>
      <c r="D3">
        <v>0.3</v>
      </c>
      <c r="E3" t="s">
        <v>53</v>
      </c>
      <c r="F3">
        <v>66</v>
      </c>
      <c r="G3">
        <v>14191</v>
      </c>
    </row>
    <row r="4" spans="1:7" x14ac:dyDescent="0.25">
      <c r="A4" s="1">
        <v>46113</v>
      </c>
      <c r="B4" t="s">
        <v>55</v>
      </c>
      <c r="C4">
        <v>39</v>
      </c>
      <c r="D4">
        <v>0.3</v>
      </c>
      <c r="E4" t="s">
        <v>53</v>
      </c>
      <c r="F4">
        <v>47</v>
      </c>
      <c r="G4">
        <v>28284</v>
      </c>
    </row>
    <row r="5" spans="1:7" x14ac:dyDescent="0.25">
      <c r="A5" s="1">
        <v>46113</v>
      </c>
      <c r="B5" t="s">
        <v>56</v>
      </c>
      <c r="C5">
        <v>57</v>
      </c>
      <c r="D5">
        <v>0.3</v>
      </c>
      <c r="E5" t="s">
        <v>53</v>
      </c>
      <c r="F5">
        <v>70</v>
      </c>
      <c r="G5">
        <v>23101</v>
      </c>
    </row>
    <row r="6" spans="1:7" x14ac:dyDescent="0.25">
      <c r="A6" s="1">
        <v>46113</v>
      </c>
      <c r="B6" t="s">
        <v>57</v>
      </c>
      <c r="C6">
        <v>35</v>
      </c>
      <c r="D6">
        <v>0.3</v>
      </c>
      <c r="E6" t="s">
        <v>53</v>
      </c>
      <c r="F6">
        <v>70</v>
      </c>
      <c r="G6">
        <v>28756</v>
      </c>
    </row>
    <row r="7" spans="1:7" x14ac:dyDescent="0.25">
      <c r="A7" s="1">
        <v>46113</v>
      </c>
      <c r="B7" t="s">
        <v>58</v>
      </c>
      <c r="C7">
        <v>63</v>
      </c>
      <c r="D7">
        <v>0.3</v>
      </c>
      <c r="E7" t="s">
        <v>53</v>
      </c>
      <c r="F7">
        <v>116</v>
      </c>
      <c r="G7">
        <v>47454</v>
      </c>
    </row>
    <row r="8" spans="1:7" x14ac:dyDescent="0.25">
      <c r="A8" s="1">
        <v>46113</v>
      </c>
      <c r="B8" t="s">
        <v>59</v>
      </c>
      <c r="C8">
        <v>46</v>
      </c>
      <c r="D8">
        <v>0.3</v>
      </c>
      <c r="E8" t="s">
        <v>53</v>
      </c>
      <c r="F8">
        <v>110</v>
      </c>
      <c r="G8">
        <v>49071</v>
      </c>
    </row>
    <row r="9" spans="1:7" x14ac:dyDescent="0.25">
      <c r="A9" s="1">
        <v>46114</v>
      </c>
      <c r="B9" t="s">
        <v>52</v>
      </c>
      <c r="C9">
        <v>94</v>
      </c>
      <c r="D9">
        <v>0.22</v>
      </c>
      <c r="E9" t="s">
        <v>53</v>
      </c>
      <c r="F9">
        <v>58</v>
      </c>
      <c r="G9">
        <v>15449</v>
      </c>
    </row>
    <row r="10" spans="1:7" x14ac:dyDescent="0.25">
      <c r="A10" s="1">
        <v>46114</v>
      </c>
      <c r="B10" t="s">
        <v>54</v>
      </c>
      <c r="C10">
        <v>79</v>
      </c>
      <c r="D10">
        <v>0.22</v>
      </c>
      <c r="E10" t="s">
        <v>53</v>
      </c>
      <c r="F10">
        <v>48</v>
      </c>
      <c r="G10">
        <v>26159</v>
      </c>
    </row>
    <row r="11" spans="1:7" x14ac:dyDescent="0.25">
      <c r="A11" s="1">
        <v>46114</v>
      </c>
      <c r="B11" t="s">
        <v>55</v>
      </c>
      <c r="C11">
        <v>94</v>
      </c>
      <c r="D11">
        <v>0.22</v>
      </c>
      <c r="E11" t="s">
        <v>53</v>
      </c>
      <c r="F11">
        <v>47</v>
      </c>
      <c r="G11">
        <v>17181</v>
      </c>
    </row>
    <row r="12" spans="1:7" x14ac:dyDescent="0.25">
      <c r="A12" s="1">
        <v>46114</v>
      </c>
      <c r="B12" t="s">
        <v>56</v>
      </c>
      <c r="C12">
        <v>102</v>
      </c>
      <c r="D12">
        <v>0.22</v>
      </c>
      <c r="E12" t="s">
        <v>53</v>
      </c>
      <c r="F12">
        <v>103</v>
      </c>
      <c r="G12">
        <v>9915</v>
      </c>
    </row>
    <row r="13" spans="1:7" x14ac:dyDescent="0.25">
      <c r="A13" s="1">
        <v>46114</v>
      </c>
      <c r="B13" t="s">
        <v>57</v>
      </c>
      <c r="C13">
        <v>92</v>
      </c>
      <c r="D13">
        <v>0.22</v>
      </c>
      <c r="E13" t="s">
        <v>53</v>
      </c>
      <c r="F13">
        <v>73</v>
      </c>
      <c r="G13">
        <v>42678</v>
      </c>
    </row>
    <row r="14" spans="1:7" x14ac:dyDescent="0.25">
      <c r="A14" s="1">
        <v>46114</v>
      </c>
      <c r="B14" t="s">
        <v>58</v>
      </c>
      <c r="C14">
        <v>100</v>
      </c>
      <c r="D14">
        <v>0.22</v>
      </c>
      <c r="E14" t="s">
        <v>53</v>
      </c>
      <c r="F14">
        <v>73</v>
      </c>
      <c r="G14">
        <v>37411</v>
      </c>
    </row>
    <row r="15" spans="1:7" x14ac:dyDescent="0.25">
      <c r="A15" s="1">
        <v>46114</v>
      </c>
      <c r="B15" t="s">
        <v>59</v>
      </c>
      <c r="C15">
        <v>105</v>
      </c>
      <c r="D15">
        <v>0.22</v>
      </c>
      <c r="E15" t="s">
        <v>53</v>
      </c>
      <c r="F15">
        <v>65</v>
      </c>
      <c r="G15">
        <v>12517</v>
      </c>
    </row>
    <row r="16" spans="1:7" x14ac:dyDescent="0.25">
      <c r="A16" s="1">
        <v>46115</v>
      </c>
      <c r="B16" t="s">
        <v>52</v>
      </c>
      <c r="C16">
        <v>112</v>
      </c>
      <c r="D16">
        <v>0.14000000000000001</v>
      </c>
      <c r="E16" t="s">
        <v>53</v>
      </c>
      <c r="F16">
        <v>82</v>
      </c>
      <c r="G16">
        <v>46291</v>
      </c>
    </row>
    <row r="17" spans="1:7" x14ac:dyDescent="0.25">
      <c r="A17" s="1">
        <v>46115</v>
      </c>
      <c r="B17" t="s">
        <v>54</v>
      </c>
      <c r="C17">
        <v>138</v>
      </c>
      <c r="D17">
        <v>0.14000000000000001</v>
      </c>
      <c r="E17" t="s">
        <v>53</v>
      </c>
      <c r="F17">
        <v>98</v>
      </c>
      <c r="G17">
        <v>46901</v>
      </c>
    </row>
    <row r="18" spans="1:7" x14ac:dyDescent="0.25">
      <c r="A18" s="1">
        <v>46115</v>
      </c>
      <c r="B18" t="s">
        <v>55</v>
      </c>
      <c r="C18">
        <v>162</v>
      </c>
      <c r="D18">
        <v>0.14000000000000001</v>
      </c>
      <c r="E18" t="s">
        <v>53</v>
      </c>
      <c r="F18">
        <v>78</v>
      </c>
      <c r="G18">
        <v>31780</v>
      </c>
    </row>
    <row r="19" spans="1:7" x14ac:dyDescent="0.25">
      <c r="A19" s="1">
        <v>46115</v>
      </c>
      <c r="B19" t="s">
        <v>56</v>
      </c>
      <c r="C19">
        <v>147</v>
      </c>
      <c r="D19">
        <v>0.14000000000000001</v>
      </c>
      <c r="E19" t="s">
        <v>53</v>
      </c>
      <c r="F19">
        <v>79</v>
      </c>
      <c r="G19">
        <v>22326</v>
      </c>
    </row>
    <row r="20" spans="1:7" x14ac:dyDescent="0.25">
      <c r="A20" s="1">
        <v>46115</v>
      </c>
      <c r="B20" t="s">
        <v>57</v>
      </c>
      <c r="C20">
        <v>113</v>
      </c>
      <c r="D20">
        <v>0.14000000000000001</v>
      </c>
      <c r="E20" t="s">
        <v>53</v>
      </c>
      <c r="F20">
        <v>83</v>
      </c>
      <c r="G20">
        <v>16778</v>
      </c>
    </row>
    <row r="21" spans="1:7" x14ac:dyDescent="0.25">
      <c r="A21" s="1">
        <v>46115</v>
      </c>
      <c r="B21" t="s">
        <v>58</v>
      </c>
      <c r="C21">
        <v>149</v>
      </c>
      <c r="D21">
        <v>0.14000000000000001</v>
      </c>
      <c r="E21" t="s">
        <v>53</v>
      </c>
      <c r="F21">
        <v>69</v>
      </c>
      <c r="G21">
        <v>34748</v>
      </c>
    </row>
    <row r="22" spans="1:7" x14ac:dyDescent="0.25">
      <c r="A22" s="1">
        <v>46115</v>
      </c>
      <c r="B22" t="s">
        <v>59</v>
      </c>
      <c r="C22">
        <v>93</v>
      </c>
      <c r="D22">
        <v>0.14000000000000001</v>
      </c>
      <c r="E22" t="s">
        <v>53</v>
      </c>
      <c r="F22">
        <v>71</v>
      </c>
      <c r="G22">
        <v>36540</v>
      </c>
    </row>
    <row r="23" spans="1:7" x14ac:dyDescent="0.25">
      <c r="A23" s="1">
        <v>46116</v>
      </c>
      <c r="B23" t="s">
        <v>52</v>
      </c>
      <c r="C23">
        <v>198</v>
      </c>
      <c r="D23">
        <v>0.06</v>
      </c>
      <c r="E23" t="s">
        <v>60</v>
      </c>
      <c r="F23">
        <v>63</v>
      </c>
      <c r="G23">
        <v>35436</v>
      </c>
    </row>
    <row r="24" spans="1:7" x14ac:dyDescent="0.25">
      <c r="A24" s="1">
        <v>46116</v>
      </c>
      <c r="B24" t="s">
        <v>54</v>
      </c>
      <c r="C24">
        <v>173</v>
      </c>
      <c r="D24">
        <v>0.06</v>
      </c>
      <c r="E24" t="s">
        <v>60</v>
      </c>
      <c r="F24">
        <v>65</v>
      </c>
      <c r="G24">
        <v>12937</v>
      </c>
    </row>
    <row r="25" spans="1:7" x14ac:dyDescent="0.25">
      <c r="A25" s="1">
        <v>46116</v>
      </c>
      <c r="B25" t="s">
        <v>55</v>
      </c>
      <c r="C25">
        <v>219</v>
      </c>
      <c r="D25">
        <v>0.06</v>
      </c>
      <c r="E25" t="s">
        <v>60</v>
      </c>
      <c r="F25">
        <v>77</v>
      </c>
      <c r="G25">
        <v>44977</v>
      </c>
    </row>
    <row r="26" spans="1:7" x14ac:dyDescent="0.25">
      <c r="A26" s="1">
        <v>46116</v>
      </c>
      <c r="B26" t="s">
        <v>56</v>
      </c>
      <c r="C26">
        <v>153</v>
      </c>
      <c r="D26">
        <v>0.06</v>
      </c>
      <c r="E26" t="s">
        <v>60</v>
      </c>
      <c r="F26">
        <v>73</v>
      </c>
      <c r="G26">
        <v>30906</v>
      </c>
    </row>
    <row r="27" spans="1:7" x14ac:dyDescent="0.25">
      <c r="A27" s="1">
        <v>46116</v>
      </c>
      <c r="B27" t="s">
        <v>57</v>
      </c>
      <c r="C27">
        <v>166</v>
      </c>
      <c r="D27">
        <v>0.06</v>
      </c>
      <c r="E27" t="s">
        <v>60</v>
      </c>
      <c r="F27">
        <v>66</v>
      </c>
      <c r="G27">
        <v>47298</v>
      </c>
    </row>
    <row r="28" spans="1:7" x14ac:dyDescent="0.25">
      <c r="A28" s="1">
        <v>46116</v>
      </c>
      <c r="B28" t="s">
        <v>58</v>
      </c>
      <c r="C28">
        <v>144</v>
      </c>
      <c r="D28">
        <v>0.06</v>
      </c>
      <c r="E28" t="s">
        <v>60</v>
      </c>
      <c r="F28">
        <v>47</v>
      </c>
      <c r="G28">
        <v>41744</v>
      </c>
    </row>
    <row r="29" spans="1:7" x14ac:dyDescent="0.25">
      <c r="A29" s="1">
        <v>46116</v>
      </c>
      <c r="B29" t="s">
        <v>59</v>
      </c>
      <c r="C29">
        <v>203</v>
      </c>
      <c r="D29">
        <v>0.06</v>
      </c>
      <c r="E29" t="s">
        <v>60</v>
      </c>
      <c r="F29">
        <v>62</v>
      </c>
      <c r="G29">
        <v>43764</v>
      </c>
    </row>
    <row r="30" spans="1:7" x14ac:dyDescent="0.25">
      <c r="A30" s="1">
        <v>46117</v>
      </c>
      <c r="B30" t="s">
        <v>52</v>
      </c>
      <c r="C30">
        <v>219</v>
      </c>
      <c r="D30">
        <v>-0.02</v>
      </c>
      <c r="E30" t="s">
        <v>60</v>
      </c>
      <c r="F30">
        <v>106</v>
      </c>
      <c r="G30">
        <v>29933</v>
      </c>
    </row>
    <row r="31" spans="1:7" x14ac:dyDescent="0.25">
      <c r="A31" s="1">
        <v>46117</v>
      </c>
      <c r="B31" t="s">
        <v>54</v>
      </c>
      <c r="C31">
        <v>213</v>
      </c>
      <c r="D31">
        <v>-0.02</v>
      </c>
      <c r="E31" t="s">
        <v>60</v>
      </c>
      <c r="F31">
        <v>73</v>
      </c>
      <c r="G31">
        <v>24810</v>
      </c>
    </row>
    <row r="32" spans="1:7" x14ac:dyDescent="0.25">
      <c r="A32" s="1">
        <v>46117</v>
      </c>
      <c r="B32" t="s">
        <v>55</v>
      </c>
      <c r="C32">
        <v>272</v>
      </c>
      <c r="D32">
        <v>-0.02</v>
      </c>
      <c r="E32" t="s">
        <v>60</v>
      </c>
      <c r="F32">
        <v>78</v>
      </c>
      <c r="G32">
        <v>20665</v>
      </c>
    </row>
    <row r="33" spans="1:7" x14ac:dyDescent="0.25">
      <c r="A33" s="1">
        <v>46117</v>
      </c>
      <c r="B33" t="s">
        <v>56</v>
      </c>
      <c r="C33">
        <v>218</v>
      </c>
      <c r="D33">
        <v>-0.02</v>
      </c>
      <c r="E33" t="s">
        <v>60</v>
      </c>
      <c r="F33">
        <v>63</v>
      </c>
      <c r="G33">
        <v>31851</v>
      </c>
    </row>
    <row r="34" spans="1:7" x14ac:dyDescent="0.25">
      <c r="A34" s="1">
        <v>46117</v>
      </c>
      <c r="B34" t="s">
        <v>57</v>
      </c>
      <c r="C34">
        <v>238</v>
      </c>
      <c r="D34">
        <v>-0.02</v>
      </c>
      <c r="E34" t="s">
        <v>60</v>
      </c>
      <c r="F34">
        <v>109</v>
      </c>
      <c r="G34">
        <v>12929</v>
      </c>
    </row>
    <row r="35" spans="1:7" x14ac:dyDescent="0.25">
      <c r="A35" s="1">
        <v>46117</v>
      </c>
      <c r="B35" t="s">
        <v>58</v>
      </c>
      <c r="C35">
        <v>156</v>
      </c>
      <c r="D35">
        <v>-0.02</v>
      </c>
      <c r="E35" t="s">
        <v>60</v>
      </c>
      <c r="F35">
        <v>70</v>
      </c>
      <c r="G35">
        <v>45041</v>
      </c>
    </row>
    <row r="36" spans="1:7" x14ac:dyDescent="0.25">
      <c r="A36" s="1">
        <v>46117</v>
      </c>
      <c r="B36" t="s">
        <v>59</v>
      </c>
      <c r="C36">
        <v>226</v>
      </c>
      <c r="D36">
        <v>-0.02</v>
      </c>
      <c r="E36" t="s">
        <v>60</v>
      </c>
      <c r="F36">
        <v>115</v>
      </c>
      <c r="G36">
        <v>11501</v>
      </c>
    </row>
    <row r="37" spans="1:7" x14ac:dyDescent="0.25">
      <c r="A37" s="1">
        <v>46118</v>
      </c>
      <c r="B37" t="s">
        <v>52</v>
      </c>
      <c r="C37">
        <v>261</v>
      </c>
      <c r="D37">
        <v>-0.1</v>
      </c>
      <c r="E37" t="s">
        <v>60</v>
      </c>
      <c r="F37">
        <v>62</v>
      </c>
      <c r="G37">
        <v>46092</v>
      </c>
    </row>
    <row r="38" spans="1:7" x14ac:dyDescent="0.25">
      <c r="A38" s="1">
        <v>46118</v>
      </c>
      <c r="B38" t="s">
        <v>54</v>
      </c>
      <c r="C38">
        <v>260</v>
      </c>
      <c r="D38">
        <v>-0.1</v>
      </c>
      <c r="E38" t="s">
        <v>60</v>
      </c>
      <c r="F38">
        <v>105</v>
      </c>
      <c r="G38">
        <v>30725</v>
      </c>
    </row>
    <row r="39" spans="1:7" x14ac:dyDescent="0.25">
      <c r="A39" s="1">
        <v>46118</v>
      </c>
      <c r="B39" t="s">
        <v>55</v>
      </c>
      <c r="C39">
        <v>176</v>
      </c>
      <c r="D39">
        <v>-0.1</v>
      </c>
      <c r="E39" t="s">
        <v>60</v>
      </c>
      <c r="F39">
        <v>49</v>
      </c>
      <c r="G39">
        <v>5940</v>
      </c>
    </row>
    <row r="40" spans="1:7" x14ac:dyDescent="0.25">
      <c r="A40" s="1">
        <v>46118</v>
      </c>
      <c r="B40" t="s">
        <v>56</v>
      </c>
      <c r="C40">
        <v>279</v>
      </c>
      <c r="D40">
        <v>-0.1</v>
      </c>
      <c r="E40" t="s">
        <v>60</v>
      </c>
      <c r="F40">
        <v>60</v>
      </c>
      <c r="G40">
        <v>32485</v>
      </c>
    </row>
    <row r="41" spans="1:7" x14ac:dyDescent="0.25">
      <c r="A41" s="1">
        <v>46118</v>
      </c>
      <c r="B41" t="s">
        <v>57</v>
      </c>
      <c r="C41">
        <v>183</v>
      </c>
      <c r="D41">
        <v>-0.1</v>
      </c>
      <c r="E41" t="s">
        <v>60</v>
      </c>
      <c r="F41">
        <v>55</v>
      </c>
      <c r="G41">
        <v>34909</v>
      </c>
    </row>
    <row r="42" spans="1:7" x14ac:dyDescent="0.25">
      <c r="A42" s="1">
        <v>46118</v>
      </c>
      <c r="B42" t="s">
        <v>58</v>
      </c>
      <c r="C42">
        <v>304</v>
      </c>
      <c r="D42">
        <v>-0.1</v>
      </c>
      <c r="E42" t="s">
        <v>60</v>
      </c>
      <c r="F42">
        <v>107</v>
      </c>
      <c r="G42">
        <v>8488</v>
      </c>
    </row>
    <row r="43" spans="1:7" x14ac:dyDescent="0.25">
      <c r="A43" s="1">
        <v>46118</v>
      </c>
      <c r="B43" t="s">
        <v>59</v>
      </c>
      <c r="C43">
        <v>233</v>
      </c>
      <c r="D43">
        <v>-0.1</v>
      </c>
      <c r="E43" t="s">
        <v>60</v>
      </c>
      <c r="F43">
        <v>79</v>
      </c>
      <c r="G43">
        <v>39293</v>
      </c>
    </row>
    <row r="44" spans="1:7" x14ac:dyDescent="0.25">
      <c r="A44" s="1">
        <v>46119</v>
      </c>
      <c r="B44" t="s">
        <v>52</v>
      </c>
      <c r="C44">
        <v>203</v>
      </c>
      <c r="D44">
        <v>-0.18</v>
      </c>
      <c r="E44" t="s">
        <v>60</v>
      </c>
      <c r="F44">
        <v>114</v>
      </c>
      <c r="G44">
        <v>20957</v>
      </c>
    </row>
    <row r="45" spans="1:7" x14ac:dyDescent="0.25">
      <c r="A45" s="1">
        <v>46119</v>
      </c>
      <c r="B45" t="s">
        <v>54</v>
      </c>
      <c r="C45">
        <v>264</v>
      </c>
      <c r="D45">
        <v>-0.18</v>
      </c>
      <c r="E45" t="s">
        <v>60</v>
      </c>
      <c r="F45">
        <v>53</v>
      </c>
      <c r="G45">
        <v>23428</v>
      </c>
    </row>
    <row r="46" spans="1:7" x14ac:dyDescent="0.25">
      <c r="A46" s="1">
        <v>46119</v>
      </c>
      <c r="B46" t="s">
        <v>55</v>
      </c>
      <c r="C46">
        <v>371</v>
      </c>
      <c r="D46">
        <v>-0.18</v>
      </c>
      <c r="E46" t="s">
        <v>60</v>
      </c>
      <c r="F46">
        <v>73</v>
      </c>
      <c r="G46">
        <v>42033</v>
      </c>
    </row>
    <row r="47" spans="1:7" x14ac:dyDescent="0.25">
      <c r="A47" s="1">
        <v>46119</v>
      </c>
      <c r="B47" t="s">
        <v>56</v>
      </c>
      <c r="C47">
        <v>229</v>
      </c>
      <c r="D47">
        <v>-0.18</v>
      </c>
      <c r="E47" t="s">
        <v>60</v>
      </c>
      <c r="F47">
        <v>49</v>
      </c>
      <c r="G47">
        <v>33833</v>
      </c>
    </row>
    <row r="48" spans="1:7" x14ac:dyDescent="0.25">
      <c r="A48" s="1">
        <v>46119</v>
      </c>
      <c r="B48" t="s">
        <v>57</v>
      </c>
      <c r="C48">
        <v>244</v>
      </c>
      <c r="D48">
        <v>-0.18</v>
      </c>
      <c r="E48" t="s">
        <v>60</v>
      </c>
      <c r="F48">
        <v>48</v>
      </c>
      <c r="G48">
        <v>10615</v>
      </c>
    </row>
    <row r="49" spans="1:7" x14ac:dyDescent="0.25">
      <c r="A49" s="1">
        <v>46119</v>
      </c>
      <c r="B49" t="s">
        <v>58</v>
      </c>
      <c r="C49">
        <v>265</v>
      </c>
      <c r="D49">
        <v>-0.18</v>
      </c>
      <c r="E49" t="s">
        <v>60</v>
      </c>
      <c r="F49">
        <v>96</v>
      </c>
      <c r="G49">
        <v>31051</v>
      </c>
    </row>
    <row r="50" spans="1:7" x14ac:dyDescent="0.25">
      <c r="A50" s="1">
        <v>46119</v>
      </c>
      <c r="B50" t="s">
        <v>59</v>
      </c>
      <c r="C50">
        <v>263</v>
      </c>
      <c r="D50">
        <v>-0.18</v>
      </c>
      <c r="E50" t="s">
        <v>60</v>
      </c>
      <c r="F50">
        <v>80</v>
      </c>
      <c r="G50">
        <v>29102</v>
      </c>
    </row>
    <row r="51" spans="1:7" x14ac:dyDescent="0.25">
      <c r="A51" s="1">
        <v>46120</v>
      </c>
      <c r="B51" t="s">
        <v>52</v>
      </c>
      <c r="C51">
        <v>271</v>
      </c>
      <c r="D51">
        <v>-0.26</v>
      </c>
      <c r="E51" t="s">
        <v>60</v>
      </c>
      <c r="F51">
        <v>111</v>
      </c>
      <c r="G51">
        <v>23573</v>
      </c>
    </row>
    <row r="52" spans="1:7" x14ac:dyDescent="0.25">
      <c r="A52" s="1">
        <v>46120</v>
      </c>
      <c r="B52" t="s">
        <v>54</v>
      </c>
      <c r="C52">
        <v>410</v>
      </c>
      <c r="D52">
        <v>-0.26</v>
      </c>
      <c r="E52" t="s">
        <v>60</v>
      </c>
      <c r="F52">
        <v>62</v>
      </c>
      <c r="G52">
        <v>23882</v>
      </c>
    </row>
    <row r="53" spans="1:7" x14ac:dyDescent="0.25">
      <c r="A53" s="1">
        <v>46120</v>
      </c>
      <c r="B53" t="s">
        <v>55</v>
      </c>
      <c r="C53">
        <v>312</v>
      </c>
      <c r="D53">
        <v>-0.26</v>
      </c>
      <c r="E53" t="s">
        <v>60</v>
      </c>
      <c r="F53">
        <v>81</v>
      </c>
      <c r="G53">
        <v>19455</v>
      </c>
    </row>
    <row r="54" spans="1:7" x14ac:dyDescent="0.25">
      <c r="A54" s="1">
        <v>46120</v>
      </c>
      <c r="B54" t="s">
        <v>56</v>
      </c>
      <c r="C54">
        <v>357</v>
      </c>
      <c r="D54">
        <v>-0.26</v>
      </c>
      <c r="E54" t="s">
        <v>60</v>
      </c>
      <c r="F54">
        <v>50</v>
      </c>
      <c r="G54">
        <v>12860</v>
      </c>
    </row>
    <row r="55" spans="1:7" x14ac:dyDescent="0.25">
      <c r="A55" s="1">
        <v>46120</v>
      </c>
      <c r="B55" t="s">
        <v>57</v>
      </c>
      <c r="C55">
        <v>242</v>
      </c>
      <c r="D55">
        <v>-0.26</v>
      </c>
      <c r="E55" t="s">
        <v>60</v>
      </c>
      <c r="F55">
        <v>74</v>
      </c>
      <c r="G55">
        <v>27517</v>
      </c>
    </row>
    <row r="56" spans="1:7" x14ac:dyDescent="0.25">
      <c r="A56" s="1">
        <v>46120</v>
      </c>
      <c r="B56" t="s">
        <v>58</v>
      </c>
      <c r="C56">
        <v>251</v>
      </c>
      <c r="D56">
        <v>-0.26</v>
      </c>
      <c r="E56" t="s">
        <v>60</v>
      </c>
      <c r="F56">
        <v>76</v>
      </c>
      <c r="G56">
        <v>36744</v>
      </c>
    </row>
    <row r="57" spans="1:7" x14ac:dyDescent="0.25">
      <c r="A57" s="1">
        <v>46120</v>
      </c>
      <c r="B57" t="s">
        <v>59</v>
      </c>
      <c r="C57">
        <v>393</v>
      </c>
      <c r="D57">
        <v>-0.26</v>
      </c>
      <c r="E57" t="s">
        <v>60</v>
      </c>
      <c r="F57">
        <v>45</v>
      </c>
      <c r="G57">
        <v>15347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7E2-BDA4-4EFD-B09F-3D27E65EA3F1}">
  <dimension ref="A1:G33"/>
  <sheetViews>
    <sheetView topLeftCell="A11" workbookViewId="0">
      <selection activeCell="K10" sqref="K10"/>
    </sheetView>
  </sheetViews>
  <sheetFormatPr defaultRowHeight="15" x14ac:dyDescent="0.25"/>
  <cols>
    <col min="1" max="1" width="10.28515625" bestFit="1" customWidth="1"/>
    <col min="2" max="2" width="14.42578125" bestFit="1" customWidth="1"/>
    <col min="3" max="3" width="18.7109375" bestFit="1" customWidth="1"/>
    <col min="4" max="4" width="28.140625" bestFit="1" customWidth="1"/>
    <col min="5" max="5" width="24.85546875" bestFit="1" customWidth="1"/>
    <col min="7" max="7" width="32.7109375" bestFit="1" customWidth="1"/>
  </cols>
  <sheetData>
    <row r="1" spans="1:7" x14ac:dyDescent="0.25">
      <c r="A1" t="s">
        <v>12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</row>
    <row r="2" spans="1:7" x14ac:dyDescent="0.25">
      <c r="A2" s="1">
        <v>46113</v>
      </c>
      <c r="B2" t="s">
        <v>67</v>
      </c>
      <c r="C2">
        <v>15</v>
      </c>
      <c r="D2">
        <v>1741.66</v>
      </c>
      <c r="E2">
        <v>95</v>
      </c>
      <c r="F2">
        <v>0</v>
      </c>
      <c r="G2">
        <v>0</v>
      </c>
    </row>
    <row r="3" spans="1:7" x14ac:dyDescent="0.25">
      <c r="A3" s="1">
        <v>46113</v>
      </c>
      <c r="B3" t="s">
        <v>68</v>
      </c>
      <c r="C3">
        <v>12</v>
      </c>
      <c r="D3">
        <v>1745.48</v>
      </c>
      <c r="E3">
        <v>95</v>
      </c>
      <c r="F3">
        <v>0</v>
      </c>
      <c r="G3">
        <v>0</v>
      </c>
    </row>
    <row r="4" spans="1:7" x14ac:dyDescent="0.25">
      <c r="A4" s="1">
        <v>46113</v>
      </c>
      <c r="B4" t="s">
        <v>69</v>
      </c>
      <c r="C4">
        <v>8</v>
      </c>
      <c r="D4">
        <v>1674.66</v>
      </c>
      <c r="E4">
        <v>95</v>
      </c>
      <c r="F4">
        <v>0</v>
      </c>
      <c r="G4">
        <v>0</v>
      </c>
    </row>
    <row r="5" spans="1:7" x14ac:dyDescent="0.25">
      <c r="A5" s="1">
        <v>46113</v>
      </c>
      <c r="B5" t="s">
        <v>70</v>
      </c>
      <c r="C5">
        <v>10</v>
      </c>
      <c r="D5">
        <v>1270.1199999999999</v>
      </c>
      <c r="E5">
        <v>95</v>
      </c>
      <c r="F5">
        <v>0</v>
      </c>
      <c r="G5">
        <v>0</v>
      </c>
    </row>
    <row r="6" spans="1:7" x14ac:dyDescent="0.25">
      <c r="A6" s="1">
        <v>46114</v>
      </c>
      <c r="B6" t="s">
        <v>67</v>
      </c>
      <c r="C6">
        <v>14.2</v>
      </c>
      <c r="D6">
        <v>1930.09</v>
      </c>
      <c r="E6">
        <v>70</v>
      </c>
      <c r="F6">
        <v>0.5</v>
      </c>
      <c r="G6">
        <v>8</v>
      </c>
    </row>
    <row r="7" spans="1:7" x14ac:dyDescent="0.25">
      <c r="A7" s="1">
        <v>46114</v>
      </c>
      <c r="B7" t="s">
        <v>68</v>
      </c>
      <c r="C7">
        <v>11.8</v>
      </c>
      <c r="D7">
        <v>2079.1999999999998</v>
      </c>
      <c r="E7">
        <v>85</v>
      </c>
      <c r="F7">
        <v>0.5</v>
      </c>
      <c r="G7">
        <v>8</v>
      </c>
    </row>
    <row r="8" spans="1:7" x14ac:dyDescent="0.25">
      <c r="A8" s="1">
        <v>46114</v>
      </c>
      <c r="B8" t="s">
        <v>69</v>
      </c>
      <c r="C8">
        <v>7.9</v>
      </c>
      <c r="D8">
        <v>2303.7199999999998</v>
      </c>
      <c r="E8">
        <v>90</v>
      </c>
      <c r="F8">
        <v>0.5</v>
      </c>
      <c r="G8">
        <v>8</v>
      </c>
    </row>
    <row r="9" spans="1:7" x14ac:dyDescent="0.25">
      <c r="A9" s="1">
        <v>46114</v>
      </c>
      <c r="B9" t="s">
        <v>70</v>
      </c>
      <c r="C9">
        <v>9.6999999999999993</v>
      </c>
      <c r="D9">
        <v>1995.61</v>
      </c>
      <c r="E9">
        <v>80</v>
      </c>
      <c r="F9">
        <v>0.5</v>
      </c>
      <c r="G9">
        <v>8</v>
      </c>
    </row>
    <row r="10" spans="1:7" x14ac:dyDescent="0.25">
      <c r="A10" s="1">
        <v>46115</v>
      </c>
      <c r="B10" t="s">
        <v>67</v>
      </c>
      <c r="C10">
        <v>13.5</v>
      </c>
      <c r="D10">
        <v>1518.98</v>
      </c>
      <c r="E10">
        <v>50</v>
      </c>
      <c r="F10">
        <v>1</v>
      </c>
      <c r="G10">
        <v>16</v>
      </c>
    </row>
    <row r="11" spans="1:7" x14ac:dyDescent="0.25">
      <c r="A11" s="1">
        <v>46115</v>
      </c>
      <c r="B11" t="s">
        <v>68</v>
      </c>
      <c r="C11">
        <v>11.5</v>
      </c>
      <c r="D11">
        <v>2001.36</v>
      </c>
      <c r="E11">
        <v>75</v>
      </c>
      <c r="F11">
        <v>1</v>
      </c>
      <c r="G11">
        <v>16</v>
      </c>
    </row>
    <row r="12" spans="1:7" x14ac:dyDescent="0.25">
      <c r="A12" s="1">
        <v>46115</v>
      </c>
      <c r="B12" t="s">
        <v>69</v>
      </c>
      <c r="C12">
        <v>7.8</v>
      </c>
      <c r="D12">
        <v>2260.66</v>
      </c>
      <c r="E12">
        <v>85</v>
      </c>
      <c r="F12">
        <v>1</v>
      </c>
      <c r="G12">
        <v>16</v>
      </c>
    </row>
    <row r="13" spans="1:7" x14ac:dyDescent="0.25">
      <c r="A13" s="1">
        <v>46115</v>
      </c>
      <c r="B13" t="s">
        <v>70</v>
      </c>
      <c r="C13">
        <v>9.4</v>
      </c>
      <c r="D13">
        <v>2235.34</v>
      </c>
      <c r="E13">
        <v>65</v>
      </c>
      <c r="F13">
        <v>1</v>
      </c>
      <c r="G13">
        <v>16</v>
      </c>
    </row>
    <row r="14" spans="1:7" x14ac:dyDescent="0.25">
      <c r="A14" s="1">
        <v>46116</v>
      </c>
      <c r="B14" t="s">
        <v>67</v>
      </c>
      <c r="C14">
        <v>12.8</v>
      </c>
      <c r="D14">
        <v>1818.72</v>
      </c>
      <c r="E14">
        <v>50</v>
      </c>
      <c r="F14">
        <v>1.5</v>
      </c>
      <c r="G14">
        <v>24</v>
      </c>
    </row>
    <row r="15" spans="1:7" x14ac:dyDescent="0.25">
      <c r="A15" s="1">
        <v>46116</v>
      </c>
      <c r="B15" t="s">
        <v>68</v>
      </c>
      <c r="C15">
        <v>11.3</v>
      </c>
      <c r="D15">
        <v>2260.81</v>
      </c>
      <c r="E15">
        <v>65</v>
      </c>
      <c r="F15">
        <v>1.5</v>
      </c>
      <c r="G15">
        <v>24</v>
      </c>
    </row>
    <row r="16" spans="1:7" x14ac:dyDescent="0.25">
      <c r="A16" s="1">
        <v>46116</v>
      </c>
      <c r="B16" t="s">
        <v>69</v>
      </c>
      <c r="C16">
        <v>7.8</v>
      </c>
      <c r="D16">
        <v>1982.43</v>
      </c>
      <c r="E16">
        <v>80</v>
      </c>
      <c r="F16">
        <v>1.5</v>
      </c>
      <c r="G16">
        <v>24</v>
      </c>
    </row>
    <row r="17" spans="1:7" x14ac:dyDescent="0.25">
      <c r="A17" s="1">
        <v>46116</v>
      </c>
      <c r="B17" t="s">
        <v>70</v>
      </c>
      <c r="C17">
        <v>9.1</v>
      </c>
      <c r="D17">
        <v>1812.51</v>
      </c>
      <c r="E17">
        <v>50</v>
      </c>
      <c r="F17">
        <v>1.5</v>
      </c>
      <c r="G17">
        <v>24</v>
      </c>
    </row>
    <row r="18" spans="1:7" x14ac:dyDescent="0.25">
      <c r="A18" s="1">
        <v>46117</v>
      </c>
      <c r="B18" t="s">
        <v>67</v>
      </c>
      <c r="C18">
        <v>12</v>
      </c>
      <c r="D18">
        <v>2442.66</v>
      </c>
      <c r="E18">
        <v>50</v>
      </c>
      <c r="F18">
        <v>2</v>
      </c>
      <c r="G18">
        <v>32</v>
      </c>
    </row>
    <row r="19" spans="1:7" x14ac:dyDescent="0.25">
      <c r="A19" s="1">
        <v>46117</v>
      </c>
      <c r="B19" t="s">
        <v>68</v>
      </c>
      <c r="C19">
        <v>11</v>
      </c>
      <c r="D19">
        <v>2664.5</v>
      </c>
      <c r="E19">
        <v>55</v>
      </c>
      <c r="F19">
        <v>2</v>
      </c>
      <c r="G19">
        <v>32</v>
      </c>
    </row>
    <row r="20" spans="1:7" x14ac:dyDescent="0.25">
      <c r="A20" s="1">
        <v>46117</v>
      </c>
      <c r="B20" t="s">
        <v>69</v>
      </c>
      <c r="C20">
        <v>7.7</v>
      </c>
      <c r="D20">
        <v>2298.6</v>
      </c>
      <c r="E20">
        <v>75</v>
      </c>
      <c r="F20">
        <v>2</v>
      </c>
      <c r="G20">
        <v>32</v>
      </c>
    </row>
    <row r="21" spans="1:7" x14ac:dyDescent="0.25">
      <c r="A21" s="1">
        <v>46117</v>
      </c>
      <c r="B21" t="s">
        <v>70</v>
      </c>
      <c r="C21">
        <v>8.8000000000000007</v>
      </c>
      <c r="D21">
        <v>2537.25</v>
      </c>
      <c r="E21">
        <v>50</v>
      </c>
      <c r="F21">
        <v>2</v>
      </c>
      <c r="G21">
        <v>32</v>
      </c>
    </row>
    <row r="22" spans="1:7" x14ac:dyDescent="0.25">
      <c r="A22" s="1">
        <v>46118</v>
      </c>
      <c r="B22" t="s">
        <v>67</v>
      </c>
      <c r="C22">
        <v>11.2</v>
      </c>
      <c r="D22">
        <v>2781.18</v>
      </c>
      <c r="E22">
        <v>50</v>
      </c>
      <c r="F22">
        <v>2.5</v>
      </c>
      <c r="G22">
        <v>40</v>
      </c>
    </row>
    <row r="23" spans="1:7" x14ac:dyDescent="0.25">
      <c r="A23" s="1">
        <v>46118</v>
      </c>
      <c r="B23" t="s">
        <v>68</v>
      </c>
      <c r="C23">
        <v>10.8</v>
      </c>
      <c r="D23">
        <v>2212.04</v>
      </c>
      <c r="E23">
        <v>50</v>
      </c>
      <c r="F23">
        <v>2.5</v>
      </c>
      <c r="G23">
        <v>40</v>
      </c>
    </row>
    <row r="24" spans="1:7" x14ac:dyDescent="0.25">
      <c r="A24" s="1">
        <v>46118</v>
      </c>
      <c r="B24" t="s">
        <v>69</v>
      </c>
      <c r="C24">
        <v>7.6</v>
      </c>
      <c r="D24">
        <v>2770.66</v>
      </c>
      <c r="E24">
        <v>70</v>
      </c>
      <c r="F24">
        <v>2.5</v>
      </c>
      <c r="G24">
        <v>40</v>
      </c>
    </row>
    <row r="25" spans="1:7" x14ac:dyDescent="0.25">
      <c r="A25" s="1">
        <v>46118</v>
      </c>
      <c r="B25" t="s">
        <v>70</v>
      </c>
      <c r="C25">
        <v>8.5</v>
      </c>
      <c r="D25">
        <v>2298.8200000000002</v>
      </c>
      <c r="E25">
        <v>50</v>
      </c>
      <c r="F25">
        <v>2.5</v>
      </c>
      <c r="G25">
        <v>40</v>
      </c>
    </row>
    <row r="26" spans="1:7" x14ac:dyDescent="0.25">
      <c r="A26" s="1">
        <v>46119</v>
      </c>
      <c r="B26" t="s">
        <v>67</v>
      </c>
      <c r="C26">
        <v>10.5</v>
      </c>
      <c r="D26">
        <v>2414.98</v>
      </c>
      <c r="E26">
        <v>50</v>
      </c>
      <c r="F26">
        <v>3</v>
      </c>
      <c r="G26">
        <v>48</v>
      </c>
    </row>
    <row r="27" spans="1:7" x14ac:dyDescent="0.25">
      <c r="A27" s="1">
        <v>46119</v>
      </c>
      <c r="B27" t="s">
        <v>68</v>
      </c>
      <c r="C27">
        <v>10.6</v>
      </c>
      <c r="D27">
        <v>2116.46</v>
      </c>
      <c r="E27">
        <v>50</v>
      </c>
      <c r="F27">
        <v>3</v>
      </c>
      <c r="G27">
        <v>48</v>
      </c>
    </row>
    <row r="28" spans="1:7" x14ac:dyDescent="0.25">
      <c r="A28" s="1">
        <v>46119</v>
      </c>
      <c r="B28" t="s">
        <v>69</v>
      </c>
      <c r="C28">
        <v>7.5</v>
      </c>
      <c r="D28">
        <v>2259.8000000000002</v>
      </c>
      <c r="E28">
        <v>65</v>
      </c>
      <c r="F28">
        <v>3</v>
      </c>
      <c r="G28">
        <v>48</v>
      </c>
    </row>
    <row r="29" spans="1:7" x14ac:dyDescent="0.25">
      <c r="A29" s="1">
        <v>46119</v>
      </c>
      <c r="B29" t="s">
        <v>70</v>
      </c>
      <c r="C29">
        <v>8.1999999999999993</v>
      </c>
      <c r="D29">
        <v>2307.96</v>
      </c>
      <c r="E29">
        <v>50</v>
      </c>
      <c r="F29">
        <v>3</v>
      </c>
      <c r="G29">
        <v>48</v>
      </c>
    </row>
    <row r="30" spans="1:7" x14ac:dyDescent="0.25">
      <c r="A30" s="1">
        <v>46120</v>
      </c>
      <c r="B30" t="s">
        <v>67</v>
      </c>
      <c r="C30">
        <v>9.8000000000000007</v>
      </c>
      <c r="D30">
        <v>2303.0500000000002</v>
      </c>
      <c r="E30">
        <v>50</v>
      </c>
      <c r="F30">
        <v>3.5</v>
      </c>
      <c r="G30">
        <v>56</v>
      </c>
    </row>
    <row r="31" spans="1:7" x14ac:dyDescent="0.25">
      <c r="A31" s="1">
        <v>46120</v>
      </c>
      <c r="B31" t="s">
        <v>68</v>
      </c>
      <c r="C31">
        <v>10.3</v>
      </c>
      <c r="D31">
        <v>3243.43</v>
      </c>
      <c r="E31">
        <v>50</v>
      </c>
      <c r="F31">
        <v>3.5</v>
      </c>
      <c r="G31">
        <v>56</v>
      </c>
    </row>
    <row r="32" spans="1:7" x14ac:dyDescent="0.25">
      <c r="A32" s="1">
        <v>46120</v>
      </c>
      <c r="B32" t="s">
        <v>69</v>
      </c>
      <c r="C32">
        <v>7.4</v>
      </c>
      <c r="D32">
        <v>3228.52</v>
      </c>
      <c r="E32">
        <v>60</v>
      </c>
      <c r="F32">
        <v>3.5</v>
      </c>
      <c r="G32">
        <v>56</v>
      </c>
    </row>
    <row r="33" spans="1:7" x14ac:dyDescent="0.25">
      <c r="A33" s="1">
        <v>46120</v>
      </c>
      <c r="B33" t="s">
        <v>70</v>
      </c>
      <c r="C33">
        <v>7.9</v>
      </c>
      <c r="D33">
        <v>2737.45</v>
      </c>
      <c r="E33">
        <v>50</v>
      </c>
      <c r="F33">
        <v>3.5</v>
      </c>
      <c r="G33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D130-B59D-4868-9510-B7632D30F1C3}">
  <dimension ref="A1:G49"/>
  <sheetViews>
    <sheetView topLeftCell="A27" workbookViewId="0">
      <selection activeCell="M8" sqref="M8"/>
    </sheetView>
  </sheetViews>
  <sheetFormatPr defaultRowHeight="15" x14ac:dyDescent="0.25"/>
  <cols>
    <col min="1" max="1" width="10.28515625" bestFit="1" customWidth="1"/>
    <col min="2" max="2" width="15.85546875" bestFit="1" customWidth="1"/>
    <col min="3" max="3" width="12.7109375" bestFit="1" customWidth="1"/>
    <col min="4" max="4" width="11.7109375" bestFit="1" customWidth="1"/>
    <col min="5" max="6" width="14.28515625" bestFit="1" customWidth="1"/>
  </cols>
  <sheetData>
    <row r="1" spans="1:7" x14ac:dyDescent="0.25">
      <c r="A1" t="s">
        <v>12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25">
      <c r="A2" s="1">
        <v>46113</v>
      </c>
      <c r="B2" t="s">
        <v>77</v>
      </c>
      <c r="C2">
        <v>135.94999999999999</v>
      </c>
      <c r="D2">
        <v>134.32</v>
      </c>
      <c r="E2">
        <v>-1.2</v>
      </c>
      <c r="F2">
        <v>54032796</v>
      </c>
      <c r="G2" t="s">
        <v>78</v>
      </c>
    </row>
    <row r="3" spans="1:7" x14ac:dyDescent="0.25">
      <c r="A3" s="1">
        <v>46114</v>
      </c>
      <c r="B3" t="s">
        <v>77</v>
      </c>
      <c r="C3">
        <v>135.94999999999999</v>
      </c>
      <c r="D3">
        <v>135.96</v>
      </c>
      <c r="E3">
        <v>0.01</v>
      </c>
      <c r="F3">
        <v>52291801</v>
      </c>
      <c r="G3" t="s">
        <v>78</v>
      </c>
    </row>
    <row r="4" spans="1:7" x14ac:dyDescent="0.25">
      <c r="A4" s="1">
        <v>46115</v>
      </c>
      <c r="B4" t="s">
        <v>77</v>
      </c>
      <c r="C4">
        <v>135.94999999999999</v>
      </c>
      <c r="D4">
        <v>137.61000000000001</v>
      </c>
      <c r="E4">
        <v>1.22</v>
      </c>
      <c r="F4">
        <v>24776548</v>
      </c>
      <c r="G4" t="s">
        <v>78</v>
      </c>
    </row>
    <row r="5" spans="1:7" x14ac:dyDescent="0.25">
      <c r="A5" s="1">
        <v>46116</v>
      </c>
      <c r="B5" t="s">
        <v>77</v>
      </c>
      <c r="C5">
        <v>135.94999999999999</v>
      </c>
      <c r="D5">
        <v>139.26</v>
      </c>
      <c r="E5">
        <v>2.44</v>
      </c>
      <c r="F5">
        <v>54428583</v>
      </c>
      <c r="G5" t="s">
        <v>78</v>
      </c>
    </row>
    <row r="6" spans="1:7" x14ac:dyDescent="0.25">
      <c r="A6" s="1">
        <v>46117</v>
      </c>
      <c r="B6" t="s">
        <v>77</v>
      </c>
      <c r="C6">
        <v>135.94999999999999</v>
      </c>
      <c r="D6">
        <v>140.91</v>
      </c>
      <c r="E6">
        <v>3.65</v>
      </c>
      <c r="F6">
        <v>38842774</v>
      </c>
      <c r="G6" t="s">
        <v>78</v>
      </c>
    </row>
    <row r="7" spans="1:7" x14ac:dyDescent="0.25">
      <c r="A7" s="1">
        <v>46118</v>
      </c>
      <c r="B7" t="s">
        <v>77</v>
      </c>
      <c r="C7">
        <v>135.94999999999999</v>
      </c>
      <c r="D7">
        <v>142.56</v>
      </c>
      <c r="E7">
        <v>4.8600000000000003</v>
      </c>
      <c r="F7">
        <v>59408157</v>
      </c>
      <c r="G7" t="s">
        <v>78</v>
      </c>
    </row>
    <row r="8" spans="1:7" x14ac:dyDescent="0.25">
      <c r="A8" s="1">
        <v>46119</v>
      </c>
      <c r="B8" t="s">
        <v>77</v>
      </c>
      <c r="C8">
        <v>135.94999999999999</v>
      </c>
      <c r="D8">
        <v>144.21</v>
      </c>
      <c r="E8">
        <v>6.07</v>
      </c>
      <c r="F8">
        <v>31630822</v>
      </c>
      <c r="G8" t="s">
        <v>78</v>
      </c>
    </row>
    <row r="9" spans="1:7" x14ac:dyDescent="0.25">
      <c r="A9" s="1">
        <v>46120</v>
      </c>
      <c r="B9" t="s">
        <v>77</v>
      </c>
      <c r="C9">
        <v>135.94999999999999</v>
      </c>
      <c r="D9">
        <v>145.85</v>
      </c>
      <c r="E9">
        <v>7.29</v>
      </c>
      <c r="F9">
        <v>34548806</v>
      </c>
      <c r="G9" t="s">
        <v>78</v>
      </c>
    </row>
    <row r="10" spans="1:7" x14ac:dyDescent="0.25">
      <c r="A10" s="1">
        <v>46113</v>
      </c>
      <c r="B10" t="s">
        <v>79</v>
      </c>
      <c r="C10">
        <v>106.55</v>
      </c>
      <c r="D10">
        <v>105.69</v>
      </c>
      <c r="E10">
        <v>-0.8</v>
      </c>
      <c r="F10">
        <v>61396893</v>
      </c>
      <c r="G10" t="s">
        <v>78</v>
      </c>
    </row>
    <row r="11" spans="1:7" x14ac:dyDescent="0.25">
      <c r="A11" s="1">
        <v>46114</v>
      </c>
      <c r="B11" t="s">
        <v>79</v>
      </c>
      <c r="C11">
        <v>106.55</v>
      </c>
      <c r="D11">
        <v>106.76</v>
      </c>
      <c r="E11">
        <v>0.2</v>
      </c>
      <c r="F11">
        <v>45173550</v>
      </c>
      <c r="G11" t="s">
        <v>78</v>
      </c>
    </row>
    <row r="12" spans="1:7" x14ac:dyDescent="0.25">
      <c r="A12" s="1">
        <v>46115</v>
      </c>
      <c r="B12" t="s">
        <v>79</v>
      </c>
      <c r="C12">
        <v>106.55</v>
      </c>
      <c r="D12">
        <v>107.82</v>
      </c>
      <c r="E12">
        <v>1.2</v>
      </c>
      <c r="F12">
        <v>60065958</v>
      </c>
      <c r="G12" t="s">
        <v>78</v>
      </c>
    </row>
    <row r="13" spans="1:7" x14ac:dyDescent="0.25">
      <c r="A13" s="1">
        <v>46116</v>
      </c>
      <c r="B13" t="s">
        <v>79</v>
      </c>
      <c r="C13">
        <v>106.55</v>
      </c>
      <c r="D13">
        <v>108.89</v>
      </c>
      <c r="E13">
        <v>2.2000000000000002</v>
      </c>
      <c r="F13">
        <v>47203062</v>
      </c>
      <c r="G13" t="s">
        <v>78</v>
      </c>
    </row>
    <row r="14" spans="1:7" x14ac:dyDescent="0.25">
      <c r="A14" s="1">
        <v>46117</v>
      </c>
      <c r="B14" t="s">
        <v>79</v>
      </c>
      <c r="C14">
        <v>106.55</v>
      </c>
      <c r="D14">
        <v>109.95</v>
      </c>
      <c r="E14">
        <v>3.2</v>
      </c>
      <c r="F14">
        <v>79712642</v>
      </c>
      <c r="G14" t="s">
        <v>78</v>
      </c>
    </row>
    <row r="15" spans="1:7" x14ac:dyDescent="0.25">
      <c r="A15" s="1">
        <v>46118</v>
      </c>
      <c r="B15" t="s">
        <v>79</v>
      </c>
      <c r="C15">
        <v>106.55</v>
      </c>
      <c r="D15">
        <v>111.02</v>
      </c>
      <c r="E15">
        <v>4.2</v>
      </c>
      <c r="F15">
        <v>60904301</v>
      </c>
      <c r="G15" t="s">
        <v>78</v>
      </c>
    </row>
    <row r="16" spans="1:7" x14ac:dyDescent="0.25">
      <c r="A16" s="1">
        <v>46119</v>
      </c>
      <c r="B16" t="s">
        <v>79</v>
      </c>
      <c r="C16">
        <v>106.55</v>
      </c>
      <c r="D16">
        <v>112.09</v>
      </c>
      <c r="E16">
        <v>5.2</v>
      </c>
      <c r="F16">
        <v>30928150</v>
      </c>
      <c r="G16" t="s">
        <v>78</v>
      </c>
    </row>
    <row r="17" spans="1:7" x14ac:dyDescent="0.25">
      <c r="A17" s="1">
        <v>46120</v>
      </c>
      <c r="B17" t="s">
        <v>79</v>
      </c>
      <c r="C17">
        <v>106.55</v>
      </c>
      <c r="D17">
        <v>113.15</v>
      </c>
      <c r="E17">
        <v>6.2</v>
      </c>
      <c r="F17">
        <v>21094822</v>
      </c>
      <c r="G17" t="s">
        <v>78</v>
      </c>
    </row>
    <row r="18" spans="1:7" x14ac:dyDescent="0.25">
      <c r="A18" s="1">
        <v>46113</v>
      </c>
      <c r="B18" t="s">
        <v>80</v>
      </c>
      <c r="C18">
        <v>117.59</v>
      </c>
      <c r="D18">
        <v>115.83</v>
      </c>
      <c r="E18">
        <v>-1.5</v>
      </c>
      <c r="F18">
        <v>51660383</v>
      </c>
      <c r="G18" t="s">
        <v>78</v>
      </c>
    </row>
    <row r="19" spans="1:7" x14ac:dyDescent="0.25">
      <c r="A19" s="1">
        <v>46114</v>
      </c>
      <c r="B19" t="s">
        <v>80</v>
      </c>
      <c r="C19">
        <v>117.59</v>
      </c>
      <c r="D19">
        <v>117.39</v>
      </c>
      <c r="E19">
        <v>-0.18</v>
      </c>
      <c r="F19">
        <v>42579473</v>
      </c>
      <c r="G19" t="s">
        <v>78</v>
      </c>
    </row>
    <row r="20" spans="1:7" x14ac:dyDescent="0.25">
      <c r="A20" s="1">
        <v>46115</v>
      </c>
      <c r="B20" t="s">
        <v>80</v>
      </c>
      <c r="C20">
        <v>117.59</v>
      </c>
      <c r="D20">
        <v>118.94</v>
      </c>
      <c r="E20">
        <v>1.1499999999999999</v>
      </c>
      <c r="F20">
        <v>37946523</v>
      </c>
      <c r="G20" t="s">
        <v>78</v>
      </c>
    </row>
    <row r="21" spans="1:7" x14ac:dyDescent="0.25">
      <c r="A21" s="1">
        <v>46116</v>
      </c>
      <c r="B21" t="s">
        <v>80</v>
      </c>
      <c r="C21">
        <v>117.59</v>
      </c>
      <c r="D21">
        <v>120.5</v>
      </c>
      <c r="E21">
        <v>2.4700000000000002</v>
      </c>
      <c r="F21">
        <v>59556183</v>
      </c>
      <c r="G21" t="s">
        <v>78</v>
      </c>
    </row>
    <row r="22" spans="1:7" x14ac:dyDescent="0.25">
      <c r="A22" s="1">
        <v>46117</v>
      </c>
      <c r="B22" t="s">
        <v>80</v>
      </c>
      <c r="C22">
        <v>117.59</v>
      </c>
      <c r="D22">
        <v>122.06</v>
      </c>
      <c r="E22">
        <v>3.8</v>
      </c>
      <c r="F22">
        <v>50866216</v>
      </c>
      <c r="G22" t="s">
        <v>78</v>
      </c>
    </row>
    <row r="23" spans="1:7" x14ac:dyDescent="0.25">
      <c r="A23" s="1">
        <v>46118</v>
      </c>
      <c r="B23" t="s">
        <v>80</v>
      </c>
      <c r="C23">
        <v>117.59</v>
      </c>
      <c r="D23">
        <v>123.62</v>
      </c>
      <c r="E23">
        <v>5.12</v>
      </c>
      <c r="F23">
        <v>57336584</v>
      </c>
      <c r="G23" t="s">
        <v>78</v>
      </c>
    </row>
    <row r="24" spans="1:7" x14ac:dyDescent="0.25">
      <c r="A24" s="1">
        <v>46119</v>
      </c>
      <c r="B24" t="s">
        <v>80</v>
      </c>
      <c r="C24">
        <v>117.59</v>
      </c>
      <c r="D24">
        <v>125.18</v>
      </c>
      <c r="E24">
        <v>6.45</v>
      </c>
      <c r="F24">
        <v>37463920</v>
      </c>
      <c r="G24" t="s">
        <v>78</v>
      </c>
    </row>
    <row r="25" spans="1:7" x14ac:dyDescent="0.25">
      <c r="A25" s="1">
        <v>46120</v>
      </c>
      <c r="B25" t="s">
        <v>80</v>
      </c>
      <c r="C25">
        <v>117.59</v>
      </c>
      <c r="D25">
        <v>126.73</v>
      </c>
      <c r="E25">
        <v>7.78</v>
      </c>
      <c r="F25">
        <v>47707873</v>
      </c>
      <c r="G25" t="s">
        <v>78</v>
      </c>
    </row>
    <row r="26" spans="1:7" x14ac:dyDescent="0.25">
      <c r="A26" s="1">
        <v>46113</v>
      </c>
      <c r="B26" t="s">
        <v>81</v>
      </c>
      <c r="C26">
        <v>80.31</v>
      </c>
      <c r="D26">
        <v>80.709999999999994</v>
      </c>
      <c r="E26">
        <v>0.5</v>
      </c>
      <c r="F26">
        <v>45211535</v>
      </c>
      <c r="G26" t="s">
        <v>78</v>
      </c>
    </row>
    <row r="27" spans="1:7" x14ac:dyDescent="0.25">
      <c r="A27" s="1">
        <v>46114</v>
      </c>
      <c r="B27" t="s">
        <v>81</v>
      </c>
      <c r="C27">
        <v>80.31</v>
      </c>
      <c r="D27">
        <v>81.349999999999994</v>
      </c>
      <c r="E27">
        <v>1.29</v>
      </c>
      <c r="F27">
        <v>60346378</v>
      </c>
      <c r="G27" t="s">
        <v>78</v>
      </c>
    </row>
    <row r="28" spans="1:7" x14ac:dyDescent="0.25">
      <c r="A28" s="1">
        <v>46115</v>
      </c>
      <c r="B28" t="s">
        <v>81</v>
      </c>
      <c r="C28">
        <v>80.31</v>
      </c>
      <c r="D28">
        <v>81.98</v>
      </c>
      <c r="E28">
        <v>2.08</v>
      </c>
      <c r="F28">
        <v>62306261</v>
      </c>
      <c r="G28" t="s">
        <v>78</v>
      </c>
    </row>
    <row r="29" spans="1:7" x14ac:dyDescent="0.25">
      <c r="A29" s="1">
        <v>46116</v>
      </c>
      <c r="B29" t="s">
        <v>81</v>
      </c>
      <c r="C29">
        <v>80.31</v>
      </c>
      <c r="D29">
        <v>82.61</v>
      </c>
      <c r="E29">
        <v>2.86</v>
      </c>
      <c r="F29">
        <v>68236341</v>
      </c>
      <c r="G29" t="s">
        <v>78</v>
      </c>
    </row>
    <row r="30" spans="1:7" x14ac:dyDescent="0.25">
      <c r="A30" s="1">
        <v>46117</v>
      </c>
      <c r="B30" t="s">
        <v>81</v>
      </c>
      <c r="C30">
        <v>80.31</v>
      </c>
      <c r="D30">
        <v>83.24</v>
      </c>
      <c r="E30">
        <v>3.65</v>
      </c>
      <c r="F30">
        <v>60745995</v>
      </c>
      <c r="G30" t="s">
        <v>78</v>
      </c>
    </row>
    <row r="31" spans="1:7" x14ac:dyDescent="0.25">
      <c r="A31" s="1">
        <v>46118</v>
      </c>
      <c r="B31" t="s">
        <v>81</v>
      </c>
      <c r="C31">
        <v>80.31</v>
      </c>
      <c r="D31">
        <v>83.88</v>
      </c>
      <c r="E31">
        <v>4.4400000000000004</v>
      </c>
      <c r="F31">
        <v>64950744</v>
      </c>
      <c r="G31" t="s">
        <v>78</v>
      </c>
    </row>
    <row r="32" spans="1:7" x14ac:dyDescent="0.25">
      <c r="A32" s="1">
        <v>46119</v>
      </c>
      <c r="B32" t="s">
        <v>81</v>
      </c>
      <c r="C32">
        <v>80.31</v>
      </c>
      <c r="D32">
        <v>84.51</v>
      </c>
      <c r="E32">
        <v>5.22</v>
      </c>
      <c r="F32">
        <v>68252507</v>
      </c>
      <c r="G32" t="s">
        <v>78</v>
      </c>
    </row>
    <row r="33" spans="1:7" x14ac:dyDescent="0.25">
      <c r="A33" s="1">
        <v>46120</v>
      </c>
      <c r="B33" t="s">
        <v>81</v>
      </c>
      <c r="C33">
        <v>80.31</v>
      </c>
      <c r="D33">
        <v>85.14</v>
      </c>
      <c r="E33">
        <v>6.01</v>
      </c>
      <c r="F33">
        <v>52596463</v>
      </c>
      <c r="G33" t="s">
        <v>78</v>
      </c>
    </row>
    <row r="34" spans="1:7" x14ac:dyDescent="0.25">
      <c r="A34" s="1">
        <v>46113</v>
      </c>
      <c r="B34" t="s">
        <v>82</v>
      </c>
      <c r="C34">
        <v>76.38</v>
      </c>
      <c r="D34">
        <v>76</v>
      </c>
      <c r="E34">
        <v>-0.5</v>
      </c>
      <c r="F34">
        <v>72805133</v>
      </c>
      <c r="G34" t="s">
        <v>83</v>
      </c>
    </row>
    <row r="35" spans="1:7" x14ac:dyDescent="0.25">
      <c r="A35" s="1">
        <v>46114</v>
      </c>
      <c r="B35" t="s">
        <v>82</v>
      </c>
      <c r="C35">
        <v>76.38</v>
      </c>
      <c r="D35">
        <v>75.739999999999995</v>
      </c>
      <c r="E35">
        <v>-0.84</v>
      </c>
      <c r="F35">
        <v>55014617</v>
      </c>
      <c r="G35" t="s">
        <v>83</v>
      </c>
    </row>
    <row r="36" spans="1:7" x14ac:dyDescent="0.25">
      <c r="A36" s="1">
        <v>46115</v>
      </c>
      <c r="B36" t="s">
        <v>82</v>
      </c>
      <c r="C36">
        <v>76.38</v>
      </c>
      <c r="D36">
        <v>75.48</v>
      </c>
      <c r="E36">
        <v>-1.18</v>
      </c>
      <c r="F36">
        <v>65833610</v>
      </c>
      <c r="G36" t="s">
        <v>83</v>
      </c>
    </row>
    <row r="37" spans="1:7" x14ac:dyDescent="0.25">
      <c r="A37" s="1">
        <v>46116</v>
      </c>
      <c r="B37" t="s">
        <v>82</v>
      </c>
      <c r="C37">
        <v>76.38</v>
      </c>
      <c r="D37">
        <v>75.23</v>
      </c>
      <c r="E37">
        <v>-1.51</v>
      </c>
      <c r="F37">
        <v>43052225</v>
      </c>
      <c r="G37" t="s">
        <v>83</v>
      </c>
    </row>
    <row r="38" spans="1:7" x14ac:dyDescent="0.25">
      <c r="A38" s="1">
        <v>46117</v>
      </c>
      <c r="B38" t="s">
        <v>82</v>
      </c>
      <c r="C38">
        <v>76.38</v>
      </c>
      <c r="D38">
        <v>74.97</v>
      </c>
      <c r="E38">
        <v>-1.85</v>
      </c>
      <c r="F38">
        <v>58413787</v>
      </c>
      <c r="G38" t="s">
        <v>83</v>
      </c>
    </row>
    <row r="39" spans="1:7" x14ac:dyDescent="0.25">
      <c r="A39" s="1">
        <v>46118</v>
      </c>
      <c r="B39" t="s">
        <v>82</v>
      </c>
      <c r="C39">
        <v>76.38</v>
      </c>
      <c r="D39">
        <v>74.709999999999994</v>
      </c>
      <c r="E39">
        <v>-2.19</v>
      </c>
      <c r="F39">
        <v>55962622</v>
      </c>
      <c r="G39" t="s">
        <v>83</v>
      </c>
    </row>
    <row r="40" spans="1:7" x14ac:dyDescent="0.25">
      <c r="A40" s="1">
        <v>46119</v>
      </c>
      <c r="B40" t="s">
        <v>82</v>
      </c>
      <c r="C40">
        <v>76.38</v>
      </c>
      <c r="D40">
        <v>74.45</v>
      </c>
      <c r="E40">
        <v>-2.5299999999999998</v>
      </c>
      <c r="F40">
        <v>47447702</v>
      </c>
      <c r="G40" t="s">
        <v>83</v>
      </c>
    </row>
    <row r="41" spans="1:7" x14ac:dyDescent="0.25">
      <c r="A41" s="1">
        <v>46120</v>
      </c>
      <c r="B41" t="s">
        <v>82</v>
      </c>
      <c r="C41">
        <v>76.38</v>
      </c>
      <c r="D41">
        <v>74.19</v>
      </c>
      <c r="E41">
        <v>-2.86</v>
      </c>
      <c r="F41">
        <v>51376028</v>
      </c>
      <c r="G41" t="s">
        <v>83</v>
      </c>
    </row>
    <row r="42" spans="1:7" x14ac:dyDescent="0.25">
      <c r="A42" s="1">
        <v>46113</v>
      </c>
      <c r="B42" t="s">
        <v>84</v>
      </c>
      <c r="C42">
        <v>95.71</v>
      </c>
      <c r="D42">
        <v>95.42</v>
      </c>
      <c r="E42">
        <v>-0.3</v>
      </c>
      <c r="F42">
        <v>29509688</v>
      </c>
      <c r="G42" t="s">
        <v>83</v>
      </c>
    </row>
    <row r="43" spans="1:7" x14ac:dyDescent="0.25">
      <c r="A43" s="1">
        <v>46114</v>
      </c>
      <c r="B43" t="s">
        <v>84</v>
      </c>
      <c r="C43">
        <v>95.71</v>
      </c>
      <c r="D43">
        <v>95.12</v>
      </c>
      <c r="E43">
        <v>-0.61</v>
      </c>
      <c r="F43">
        <v>32077424</v>
      </c>
      <c r="G43" t="s">
        <v>83</v>
      </c>
    </row>
    <row r="44" spans="1:7" x14ac:dyDescent="0.25">
      <c r="A44" s="1">
        <v>46115</v>
      </c>
      <c r="B44" t="s">
        <v>84</v>
      </c>
      <c r="C44">
        <v>95.71</v>
      </c>
      <c r="D44">
        <v>94.83</v>
      </c>
      <c r="E44">
        <v>-0.93</v>
      </c>
      <c r="F44">
        <v>68321064</v>
      </c>
      <c r="G44" t="s">
        <v>83</v>
      </c>
    </row>
    <row r="45" spans="1:7" x14ac:dyDescent="0.25">
      <c r="A45" s="1">
        <v>46116</v>
      </c>
      <c r="B45" t="s">
        <v>84</v>
      </c>
      <c r="C45">
        <v>95.71</v>
      </c>
      <c r="D45">
        <v>94.53</v>
      </c>
      <c r="E45">
        <v>-1.24</v>
      </c>
      <c r="F45">
        <v>66826786</v>
      </c>
      <c r="G45" t="s">
        <v>83</v>
      </c>
    </row>
    <row r="46" spans="1:7" x14ac:dyDescent="0.25">
      <c r="A46" s="1">
        <v>46117</v>
      </c>
      <c r="B46" t="s">
        <v>84</v>
      </c>
      <c r="C46">
        <v>95.71</v>
      </c>
      <c r="D46">
        <v>94.23</v>
      </c>
      <c r="E46">
        <v>-1.55</v>
      </c>
      <c r="F46">
        <v>61268649</v>
      </c>
      <c r="G46" t="s">
        <v>83</v>
      </c>
    </row>
    <row r="47" spans="1:7" x14ac:dyDescent="0.25">
      <c r="A47" s="1">
        <v>46118</v>
      </c>
      <c r="B47" t="s">
        <v>84</v>
      </c>
      <c r="C47">
        <v>95.71</v>
      </c>
      <c r="D47">
        <v>93.93</v>
      </c>
      <c r="E47">
        <v>-1.86</v>
      </c>
      <c r="F47">
        <v>41897835</v>
      </c>
      <c r="G47" t="s">
        <v>83</v>
      </c>
    </row>
    <row r="48" spans="1:7" x14ac:dyDescent="0.25">
      <c r="A48" s="1">
        <v>46119</v>
      </c>
      <c r="B48" t="s">
        <v>84</v>
      </c>
      <c r="C48">
        <v>95.71</v>
      </c>
      <c r="D48">
        <v>93.63</v>
      </c>
      <c r="E48">
        <v>-2.17</v>
      </c>
      <c r="F48">
        <v>62601990</v>
      </c>
      <c r="G48" t="s">
        <v>83</v>
      </c>
    </row>
    <row r="49" spans="1:7" x14ac:dyDescent="0.25">
      <c r="A49" s="1">
        <v>46120</v>
      </c>
      <c r="B49" t="s">
        <v>84</v>
      </c>
      <c r="C49">
        <v>95.71</v>
      </c>
      <c r="D49">
        <v>93.33</v>
      </c>
      <c r="E49">
        <v>-2.4900000000000002</v>
      </c>
      <c r="F49">
        <v>50831542</v>
      </c>
      <c r="G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Clean_data </vt:lpstr>
      <vt:lpstr>Rough_Dashboard</vt:lpstr>
      <vt:lpstr>Pivot_tables</vt:lpstr>
      <vt:lpstr>Key_Insights</vt:lpstr>
      <vt:lpstr>global_fuel_prices_april_2026</vt:lpstr>
      <vt:lpstr>crude_oil_prices_crisis_period</vt:lpstr>
      <vt:lpstr>currency_inflation_indicators</vt:lpstr>
      <vt:lpstr>news_sentiment_media_coverage</vt:lpstr>
      <vt:lpstr>shipping_logistics_disruption</vt:lpstr>
      <vt:lpstr>stock_market_impact_energy_sect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Parmar</dc:creator>
  <cp:lastModifiedBy>Vaishali Parmar</cp:lastModifiedBy>
  <dcterms:created xsi:type="dcterms:W3CDTF">2026-05-11T08:01:48Z</dcterms:created>
  <dcterms:modified xsi:type="dcterms:W3CDTF">2026-05-15T09:41:10Z</dcterms:modified>
</cp:coreProperties>
</file>